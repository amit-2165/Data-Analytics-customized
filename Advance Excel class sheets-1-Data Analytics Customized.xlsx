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k\OneDrive\Desktop\"/>
    </mc:Choice>
  </mc:AlternateContent>
  <xr:revisionPtr revIDLastSave="0" documentId="13_ncr:1_{458CC4DB-DC8E-4BF6-8479-EF584AD9E484}" xr6:coauthVersionLast="47" xr6:coauthVersionMax="47" xr10:uidLastSave="{00000000-0000-0000-0000-000000000000}"/>
  <bookViews>
    <workbookView xWindow="-120" yWindow="-120" windowWidth="20730" windowHeight="11160" tabRatio="748" activeTab="1" xr2:uid="{EFF5DE48-D1DE-4CBA-8F5B-176FD3F43653}"/>
  </bookViews>
  <sheets>
    <sheet name="terms used in Excel" sheetId="8" r:id="rId1"/>
    <sheet name="Basic of Excel" sheetId="2" r:id="rId2"/>
    <sheet name="Sheet10" sheetId="17" r:id="rId3"/>
    <sheet name="Absolute and Relative cell" sheetId="1" r:id="rId4"/>
    <sheet name="BASIC FORMULA" sheetId="20" r:id="rId5"/>
    <sheet name="VLookup funtion" sheetId="5" r:id="rId6"/>
    <sheet name="HLOOKUP" sheetId="6" r:id="rId7"/>
    <sheet name="Nested VLOOKUP" sheetId="7" r:id="rId8"/>
  </sheets>
  <definedNames>
    <definedName name="_xlnm._FilterDatabase" localSheetId="1" hidden="1">'Basic of Excel'!$A$2:$B$20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7" l="1"/>
  <c r="B12" i="7"/>
  <c r="B13" i="7"/>
  <c r="B14" i="7"/>
  <c r="B10" i="7"/>
  <c r="X3" i="6" a="1"/>
  <c r="X3" i="6" s="1"/>
  <c r="P5" i="6"/>
  <c r="F4" i="6"/>
  <c r="F5" i="6"/>
  <c r="F6" i="6"/>
  <c r="F7" i="6"/>
  <c r="F8" i="6"/>
  <c r="F9" i="6"/>
  <c r="F3" i="6"/>
  <c r="T3" i="5"/>
  <c r="S3" i="5"/>
  <c r="T4" i="5"/>
  <c r="T5" i="5"/>
  <c r="T6" i="5"/>
  <c r="T7" i="5"/>
  <c r="S4" i="5"/>
  <c r="S5" i="5"/>
  <c r="S6" i="5"/>
  <c r="S7" i="5"/>
  <c r="M4" i="5"/>
  <c r="E4" i="5"/>
  <c r="W12" i="6" a="1"/>
  <c r="W12" i="6" s="1"/>
  <c r="W10" i="20"/>
  <c r="U10" i="20"/>
  <c r="N19" i="20"/>
  <c r="D22" i="20"/>
  <c r="A22" i="20"/>
  <c r="J20" i="20"/>
  <c r="I20" i="20"/>
  <c r="D19" i="20"/>
  <c r="A19" i="20"/>
  <c r="K17" i="20"/>
  <c r="Q15" i="20"/>
  <c r="Q14" i="20"/>
  <c r="R11" i="20"/>
  <c r="M10" i="20"/>
  <c r="E10" i="20"/>
  <c r="D10" i="20"/>
  <c r="B10" i="20"/>
  <c r="A10" i="20"/>
  <c r="M9" i="20"/>
  <c r="I9" i="20"/>
  <c r="H9" i="20"/>
  <c r="N7" i="20"/>
  <c r="S12" i="5"/>
  <c r="S11" i="5"/>
  <c r="S10" i="5"/>
  <c r="O9" i="7"/>
  <c r="P9" i="7"/>
  <c r="N9" i="7"/>
  <c r="D3" i="1"/>
  <c r="D4" i="1"/>
  <c r="M3" i="1"/>
  <c r="M4" i="1"/>
  <c r="E9" i="5"/>
  <c r="M2" i="1"/>
  <c r="K4" i="1"/>
  <c r="K3" i="1"/>
  <c r="K2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<sst xmlns="http://schemas.openxmlformats.org/spreadsheetml/2006/main" count="280" uniqueCount="206">
  <si>
    <t>Item</t>
  </si>
  <si>
    <t>Price</t>
  </si>
  <si>
    <t>Quantity</t>
  </si>
  <si>
    <t>Total Cost Formula</t>
  </si>
  <si>
    <t>Apple</t>
  </si>
  <si>
    <t>Orange</t>
  </si>
  <si>
    <t>Banana</t>
  </si>
  <si>
    <t>Default behavior in Excel.</t>
  </si>
  <si>
    <t>(Relative Cell Reference)</t>
  </si>
  <si>
    <t>Absolute Cell Reference</t>
  </si>
  <si>
    <t>(Tax Rate: 10%)</t>
  </si>
  <si>
    <t>(Tax Amount)</t>
  </si>
  <si>
    <t>Even if copied, L2 remains fixed, while K2 changes relatively.</t>
  </si>
  <si>
    <t>TAB</t>
  </si>
  <si>
    <t>GROUP</t>
  </si>
  <si>
    <t>EXCEL MENU SYSTEM-CALLED RIBBON</t>
  </si>
  <si>
    <t>HOME TAB-FORMAT</t>
  </si>
  <si>
    <t>INSERT TAB-INSERTING DATA</t>
  </si>
  <si>
    <t>DRAW TAB</t>
  </si>
  <si>
    <t>PAGE LAYOUT TAB</t>
  </si>
  <si>
    <t>Ballon Tips</t>
  </si>
  <si>
    <t>Quick access tool bar</t>
  </si>
  <si>
    <t>add button on quick access tool bar</t>
  </si>
  <si>
    <t>double under line</t>
  </si>
  <si>
    <t>Move quick access tool bar below the ribbon</t>
  </si>
  <si>
    <t>File is workbook and workbook is file</t>
  </si>
  <si>
    <t>workbook</t>
  </si>
  <si>
    <t>sheets tab</t>
  </si>
  <si>
    <t>column are vertical and rows are horizontal</t>
  </si>
  <si>
    <t>every cell has address</t>
  </si>
  <si>
    <t>formula bar-give information about active cell</t>
  </si>
  <si>
    <t>ready-this called static bar</t>
  </si>
  <si>
    <t>Formula tab</t>
  </si>
  <si>
    <t>Data tab</t>
  </si>
  <si>
    <t>Review tab</t>
  </si>
  <si>
    <t>Automate Tab</t>
  </si>
  <si>
    <t>File Tab-print, save, save as</t>
  </si>
  <si>
    <t>Dialog box launcher</t>
  </si>
  <si>
    <t>three button save, undo, redo</t>
  </si>
  <si>
    <t>`</t>
  </si>
  <si>
    <t>Ribbon Display option-tab Ctrl + Shift + F1, Ctrl+ F1</t>
  </si>
  <si>
    <t>Name</t>
  </si>
  <si>
    <t>Department</t>
  </si>
  <si>
    <t>IT</t>
  </si>
  <si>
    <t>Raj</t>
  </si>
  <si>
    <t>HR</t>
  </si>
  <si>
    <t>Finance</t>
  </si>
  <si>
    <t>Marketing</t>
  </si>
  <si>
    <t>Sumit</t>
  </si>
  <si>
    <t>Normal view, Page layout view,  Page break preview</t>
  </si>
  <si>
    <t xml:space="preserve">Zoom in and out by  10%,Fit selection </t>
  </si>
  <si>
    <t>3D plus, cross hair , 9 way courcer</t>
  </si>
  <si>
    <t>Double click on navigate arrow</t>
  </si>
  <si>
    <t>Auto fill button, right click, insert row and column, cell</t>
  </si>
  <si>
    <t>Mini tool bar</t>
  </si>
  <si>
    <r>
      <t xml:space="preserve">In Excel, </t>
    </r>
    <r>
      <rPr>
        <b/>
        <sz val="11"/>
        <color rgb="FF0000FF"/>
        <rFont val="Aptos Narrow"/>
        <family val="2"/>
        <scheme val="minor"/>
      </rPr>
      <t>absolute</t>
    </r>
    <r>
      <rPr>
        <sz val="11"/>
        <color rgb="FF0000FF"/>
        <rFont val="Aptos Narrow"/>
        <family val="2"/>
        <scheme val="minor"/>
      </rPr>
      <t xml:space="preserve"> and </t>
    </r>
    <r>
      <rPr>
        <b/>
        <sz val="11"/>
        <color rgb="FF0000FF"/>
        <rFont val="Aptos Narrow"/>
        <family val="2"/>
        <scheme val="minor"/>
      </rPr>
      <t>relative</t>
    </r>
    <r>
      <rPr>
        <sz val="11"/>
        <color rgb="FF0000FF"/>
        <rFont val="Aptos Narrow"/>
        <family val="2"/>
        <scheme val="minor"/>
      </rPr>
      <t xml:space="preserve"> cell references determine how a formula behaves when copied to other cells.</t>
    </r>
  </si>
  <si>
    <r>
      <t>Changes</t>
    </r>
    <r>
      <rPr>
        <sz val="11"/>
        <color rgb="FF0000FF"/>
        <rFont val="Aptos Narrow"/>
        <family val="2"/>
        <scheme val="minor"/>
      </rPr>
      <t xml:space="preserve"> when copied to another cell.</t>
    </r>
  </si>
  <si>
    <r>
      <t xml:space="preserve">Example: </t>
    </r>
    <r>
      <rPr>
        <sz val="10"/>
        <color rgb="FF0000FF"/>
        <rFont val="Arial Unicode MS"/>
      </rPr>
      <t>=B2 + C2</t>
    </r>
  </si>
  <si>
    <r>
      <t xml:space="preserve">If copied from row 1 to row 2, it becomes </t>
    </r>
    <r>
      <rPr>
        <sz val="10"/>
        <color rgb="FF0000FF"/>
        <rFont val="Arial Unicode MS"/>
      </rPr>
      <t>=B3 + C3</t>
    </r>
  </si>
  <si>
    <r>
      <t>Fixed reference that does not change</t>
    </r>
    <r>
      <rPr>
        <sz val="11"/>
        <color rgb="FF0000FF"/>
        <rFont val="Aptos Narrow"/>
        <family val="2"/>
        <scheme val="minor"/>
      </rPr>
      <t xml:space="preserve"> when copied.</t>
    </r>
  </si>
  <si>
    <r>
      <t xml:space="preserve">Uses </t>
    </r>
    <r>
      <rPr>
        <b/>
        <sz val="10"/>
        <color rgb="FF0000FF"/>
        <rFont val="Arial Unicode MS"/>
      </rPr>
      <t>$</t>
    </r>
    <r>
      <rPr>
        <b/>
        <sz val="11"/>
        <color rgb="FF0000FF"/>
        <rFont val="Aptos Narrow"/>
        <family val="2"/>
        <scheme val="minor"/>
      </rPr>
      <t xml:space="preserve"> sign</t>
    </r>
    <r>
      <rPr>
        <sz val="11"/>
        <color rgb="FF0000FF"/>
        <rFont val="Aptos Narrow"/>
        <family val="2"/>
        <scheme val="minor"/>
      </rPr>
      <t xml:space="preserve"> before column and/or row.</t>
    </r>
  </si>
  <si>
    <r>
      <t xml:space="preserve">Example: </t>
    </r>
    <r>
      <rPr>
        <sz val="10"/>
        <color rgb="FF0000FF"/>
        <rFont val="Arial Unicode MS"/>
      </rPr>
      <t>=K2+$L$2</t>
    </r>
  </si>
  <si>
    <t>Ram</t>
  </si>
  <si>
    <t>Pooja</t>
  </si>
  <si>
    <t>Mohan</t>
  </si>
  <si>
    <t>Diya</t>
  </si>
  <si>
    <t>VLOOKUP function</t>
  </si>
  <si>
    <t>Score</t>
  </si>
  <si>
    <t>Grade</t>
  </si>
  <si>
    <t>A</t>
  </si>
  <si>
    <t>C</t>
  </si>
  <si>
    <t>D</t>
  </si>
  <si>
    <t>F</t>
  </si>
  <si>
    <t>ID</t>
  </si>
  <si>
    <t>Last Name</t>
  </si>
  <si>
    <t>First Name</t>
  </si>
  <si>
    <t>Salary</t>
  </si>
  <si>
    <t>Rohit</t>
  </si>
  <si>
    <t>Chetan</t>
  </si>
  <si>
    <t>Kumar</t>
  </si>
  <si>
    <t>Sharma</t>
  </si>
  <si>
    <t>Mishra</t>
  </si>
  <si>
    <t>Singh</t>
  </si>
  <si>
    <t>Kumari</t>
  </si>
  <si>
    <t>Dutta</t>
  </si>
  <si>
    <t>Bugha</t>
  </si>
  <si>
    <t>Employee ID</t>
  </si>
  <si>
    <t>Simran</t>
  </si>
  <si>
    <t>Amit</t>
  </si>
  <si>
    <t>Neha</t>
  </si>
  <si>
    <t>Arjun</t>
  </si>
  <si>
    <t>Joining Date</t>
  </si>
  <si>
    <t>Location</t>
  </si>
  <si>
    <t>Mumbai</t>
  </si>
  <si>
    <t>Delhi</t>
  </si>
  <si>
    <t>Bangalore</t>
  </si>
  <si>
    <t>Chennai</t>
  </si>
  <si>
    <t>Kolkata</t>
  </si>
  <si>
    <t>HLOOKUP (Horizontal lookup) function.</t>
  </si>
  <si>
    <t>Product</t>
  </si>
  <si>
    <t>Laptop</t>
  </si>
  <si>
    <t>Keyboard</t>
  </si>
  <si>
    <t>Mouse</t>
  </si>
  <si>
    <t>Printer</t>
  </si>
  <si>
    <t>DVD</t>
  </si>
  <si>
    <t>Brand</t>
  </si>
  <si>
    <t>HP</t>
  </si>
  <si>
    <t>DELL</t>
  </si>
  <si>
    <t>INTEL</t>
  </si>
  <si>
    <t>Logitech</t>
  </si>
  <si>
    <t>MATCH function</t>
  </si>
  <si>
    <t>returns the position of a value in a given range.</t>
  </si>
  <si>
    <t>ORANGE</t>
  </si>
  <si>
    <t>BANANA</t>
  </si>
  <si>
    <t>PAPAYA</t>
  </si>
  <si>
    <t>HLOOKUP(E3,$J$5:$N$7,3,FALSE)</t>
  </si>
  <si>
    <t>MATCH(P4,R4:R7,0)</t>
  </si>
  <si>
    <t>INDEX function</t>
  </si>
  <si>
    <t>two-dimensional range.</t>
  </si>
  <si>
    <t>one-dimensional range</t>
  </si>
  <si>
    <t>Employee Name</t>
  </si>
  <si>
    <t>John</t>
  </si>
  <si>
    <t>Alice</t>
  </si>
  <si>
    <t>Mark</t>
  </si>
  <si>
    <t>Sarah</t>
  </si>
  <si>
    <t>Emma</t>
  </si>
  <si>
    <t>Manager</t>
  </si>
  <si>
    <t>Mr. Sharma</t>
  </si>
  <si>
    <t>Ms. Kapoor</t>
  </si>
  <si>
    <t>Mr. Verma</t>
  </si>
  <si>
    <t>VLOOKUP(VLOOKUP(A9,$A$2:$C$6,3,FALSE),$E$2:$F$6,2,FALSE)</t>
  </si>
  <si>
    <t>Nested VLOOKUP</t>
  </si>
  <si>
    <t>A (ID)</t>
  </si>
  <si>
    <t>B (Name)</t>
  </si>
  <si>
    <t>C (Salary)</t>
  </si>
  <si>
    <t>Mike</t>
  </si>
  <si>
    <t>Sara</t>
  </si>
  <si>
    <t>SALARY</t>
  </si>
  <si>
    <t>INDEX and MATCH</t>
  </si>
  <si>
    <t>INDEX(M3:M5,MATCH(N8,N3:N5,0))</t>
  </si>
  <si>
    <t>INDEX(Y12:Y15,V12)</t>
  </si>
  <si>
    <t>Returns a value from a specified table or range based on the given row and column number. </t>
  </si>
  <si>
    <t>APPLE</t>
  </si>
  <si>
    <t>Some terms used in Excel include:</t>
  </si>
  <si>
    <t xml:space="preserve">Workbook: A collection of worksheets, or spreadsheets, that make up an Excel file </t>
  </si>
  <si>
    <t xml:space="preserve">Worksheet: The working area of Excel, where users can store data and perform calculations </t>
  </si>
  <si>
    <t xml:space="preserve">Cell: The intersection of a row and a column in a table </t>
  </si>
  <si>
    <t xml:space="preserve">Formula: A mathematical expression that performs calculations on data in cells </t>
  </si>
  <si>
    <t xml:space="preserve">Filter: A function that sorts data within a file </t>
  </si>
  <si>
    <t xml:space="preserve">Function: A word that tells Excel what to do, such as SUM </t>
  </si>
  <si>
    <t xml:space="preserve">Reference: The way a formula refers to data in a cell or range of cells </t>
  </si>
  <si>
    <t xml:space="preserve">VLOOKUP: A function that locates specific information in cells </t>
  </si>
  <si>
    <t xml:space="preserve">Conditional formatting: A feature that formats cells based on certain criteria </t>
  </si>
  <si>
    <t>Three dots- collapse</t>
  </si>
  <si>
    <t>alt+tab</t>
  </si>
  <si>
    <t>use to move from one screen to anthore screen</t>
  </si>
  <si>
    <t>ctrl+c</t>
  </si>
  <si>
    <t>copy the data</t>
  </si>
  <si>
    <t>ctrl+v</t>
  </si>
  <si>
    <t>paste the data</t>
  </si>
  <si>
    <t>ctrl+z</t>
  </si>
  <si>
    <t>go back to last step</t>
  </si>
  <si>
    <t>ctrl+a</t>
  </si>
  <si>
    <t>select entier sheet or all cells</t>
  </si>
  <si>
    <t>banana</t>
  </si>
  <si>
    <t>INDEX(Y6:AA10,V3,W3)</t>
  </si>
  <si>
    <t>B+</t>
  </si>
  <si>
    <t>last cell in column  XFD 16384</t>
  </si>
  <si>
    <t>last cell in rows  1048576</t>
  </si>
  <si>
    <t>Count and Sum Functions</t>
  </si>
  <si>
    <t>COUNT</t>
  </si>
  <si>
    <t>COUNTIF</t>
  </si>
  <si>
    <t>COUNTIFS</t>
  </si>
  <si>
    <t>COUNTA</t>
  </si>
  <si>
    <t>COUNTBLANK</t>
  </si>
  <si>
    <t>Result</t>
  </si>
  <si>
    <t>Qty</t>
  </si>
  <si>
    <t>$$$%%%&amp;&amp;</t>
  </si>
  <si>
    <t>Smartphone</t>
  </si>
  <si>
    <t>,,,,,,,</t>
  </si>
  <si>
    <t>apple</t>
  </si>
  <si>
    <t>orange</t>
  </si>
  <si>
    <t>COUNTA(M3:M8)</t>
  </si>
  <si>
    <t>COUNTIFS(G4:G8,"Laptop",H4:H8,"&gt;4")</t>
  </si>
  <si>
    <t>COUNT(A4:A9)</t>
  </si>
  <si>
    <t>COUNTIF(D4:D9,"&gt;60")</t>
  </si>
  <si>
    <t>GRAPES</t>
  </si>
  <si>
    <t>SUM</t>
  </si>
  <si>
    <t>SUMIF</t>
  </si>
  <si>
    <t>SUMIFS</t>
  </si>
  <si>
    <t>Company</t>
  </si>
  <si>
    <t>smartphone</t>
  </si>
  <si>
    <t>Samsung</t>
  </si>
  <si>
    <t>COUNTBLANK(Q3:Q13)</t>
  </si>
  <si>
    <t>SUM(A15:A20)</t>
  </si>
  <si>
    <t>SUMIF(D15:D18,"&gt;60")</t>
  </si>
  <si>
    <t>SUMIFS(I15:I19,G15:G19,"Smartphone",H15:H19,"Samsung")</t>
  </si>
  <si>
    <t>Average</t>
  </si>
  <si>
    <t>profit</t>
  </si>
  <si>
    <t>MAX</t>
  </si>
  <si>
    <t>MIN</t>
  </si>
  <si>
    <t>VLOOKUP(E3,A2:B7,2,FALSE)</t>
  </si>
  <si>
    <t>VLOOKUP(M3,G2:J9,4,0)</t>
  </si>
  <si>
    <t>VLOOKUP(O3,HLOOKUP!A2:C7,3,0)</t>
  </si>
  <si>
    <t>VLOOKUP(O3,HLOOKUP!A2:C7,2,0)</t>
  </si>
  <si>
    <t>D (Salary)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</si>
</sst>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0"/>
      <color rgb="FF0000FF"/>
      <name val="Arial Unicode MS"/>
    </font>
    <font>
      <b/>
      <sz val="10"/>
      <color rgb="FF0000FF"/>
      <name val="Arial Unicode MS"/>
    </font>
    <font>
      <b/>
      <u val="double"/>
      <sz val="11"/>
      <color rgb="FF0000FF"/>
      <name val="Aptos Narrow"/>
      <family val="2"/>
      <scheme val="minor"/>
    </font>
    <font>
      <sz val="12"/>
      <color rgb="FF000000"/>
      <name val="Segoe UI"/>
      <family val="2"/>
    </font>
    <font>
      <b/>
      <sz val="16"/>
      <color rgb="FF0000FF"/>
      <name val="Aptos Narrow"/>
      <family val="2"/>
      <scheme val="minor"/>
    </font>
    <font>
      <sz val="18.45"/>
      <color rgb="FF3E3530"/>
      <name val="Arial"/>
      <family val="2"/>
    </font>
    <font>
      <b/>
      <sz val="14"/>
      <color rgb="FF0000FF"/>
      <name val="Aptos Narrow"/>
      <family val="2"/>
      <scheme val="minor"/>
    </font>
    <font>
      <b/>
      <sz val="12"/>
      <color rgb="FF0000FF"/>
      <name val="Arial"/>
      <family val="2"/>
    </font>
    <font>
      <b/>
      <sz val="12"/>
      <color rgb="FF0000FF"/>
      <name val="Segoe UI"/>
      <family val="2"/>
    </font>
    <font>
      <b/>
      <sz val="11"/>
      <color rgb="FFFF0000"/>
      <name val="Aptos Narrow"/>
      <family val="2"/>
      <scheme val="minor"/>
    </font>
    <font>
      <b/>
      <sz val="12"/>
      <color rgb="FF0000CC"/>
      <name val="Segoe UI"/>
      <family val="2"/>
    </font>
    <font>
      <sz val="12"/>
      <color rgb="FF0000CC"/>
      <name val="Segoe UI"/>
      <family val="2"/>
    </font>
    <font>
      <sz val="14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vertical="center" wrapText="1"/>
    </xf>
    <xf numFmtId="0" fontId="0" fillId="3" borderId="1" xfId="0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center"/>
    </xf>
    <xf numFmtId="0" fontId="9" fillId="0" borderId="0" xfId="0" applyFont="1"/>
    <xf numFmtId="0" fontId="0" fillId="4" borderId="1" xfId="0" applyFill="1" applyBorder="1"/>
    <xf numFmtId="0" fontId="6" fillId="0" borderId="0" xfId="0" applyFont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10" fillId="0" borderId="0" xfId="0" applyFont="1"/>
    <xf numFmtId="0" fontId="11" fillId="5" borderId="0" xfId="0" applyFont="1" applyFill="1"/>
    <xf numFmtId="0" fontId="0" fillId="2" borderId="1" xfId="0" applyFill="1" applyBorder="1" applyAlignment="1">
      <alignment horizontal="right"/>
    </xf>
    <xf numFmtId="0" fontId="0" fillId="6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15" fontId="0" fillId="0" borderId="1" xfId="0" applyNumberFormat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0" borderId="0" xfId="0" applyFont="1"/>
    <xf numFmtId="0" fontId="15" fillId="0" borderId="0" xfId="0" applyFont="1"/>
    <xf numFmtId="0" fontId="13" fillId="8" borderId="0" xfId="0" applyFont="1" applyFill="1"/>
    <xf numFmtId="0" fontId="0" fillId="8" borderId="0" xfId="0" applyFill="1"/>
    <xf numFmtId="0" fontId="16" fillId="8" borderId="0" xfId="0" applyFont="1" applyFill="1"/>
    <xf numFmtId="0" fontId="0" fillId="0" borderId="0" xfId="0" applyAlignment="1">
      <alignment textRotation="45"/>
    </xf>
    <xf numFmtId="14" fontId="0" fillId="0" borderId="1" xfId="0" applyNumberFormat="1" applyBorder="1"/>
    <xf numFmtId="0" fontId="6" fillId="0" borderId="0" xfId="0" applyFont="1" applyAlignment="1">
      <alignment textRotation="255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10" borderId="1" xfId="0" applyFill="1" applyBorder="1"/>
    <xf numFmtId="0" fontId="0" fillId="11" borderId="1" xfId="0" applyFill="1" applyBorder="1" applyAlignment="1">
      <alignment horizontal="right"/>
    </xf>
    <xf numFmtId="0" fontId="0" fillId="12" borderId="1" xfId="0" applyFill="1" applyBorder="1"/>
    <xf numFmtId="0" fontId="0" fillId="13" borderId="1" xfId="0" applyFill="1" applyBorder="1"/>
    <xf numFmtId="0" fontId="0" fillId="11" borderId="1" xfId="0" applyFill="1" applyBorder="1"/>
    <xf numFmtId="0" fontId="0" fillId="14" borderId="1" xfId="0" applyFill="1" applyBorder="1"/>
    <xf numFmtId="0" fontId="0" fillId="9" borderId="1" xfId="0" applyFill="1" applyBorder="1"/>
    <xf numFmtId="0" fontId="16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254000</xdr:colOff>
      <xdr:row>9</xdr:row>
      <xdr:rowOff>21218</xdr:rowOff>
    </xdr:from>
    <xdr:to>
      <xdr:col>6</xdr:col>
      <xdr:colOff>452348</xdr:colOff>
      <xdr:row>11</xdr:row>
      <xdr:rowOff>190498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C95C303-954F-0646-B969-5C3D680F4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231" y="1735718"/>
          <a:ext cx="1414617" cy="542954"/>
        </a:xfrm>
        <a:prstGeom prst="rect">
          <a:avLst/>
        </a:prstGeom>
      </xdr:spPr>
    </xdr:pic>
    <xdr:clientData/>
  </xdr:twoCellAnchor>
  <xdr:twoCellAnchor editAs="oneCell">
    <xdr:from>
      <xdr:col>2</xdr:col>
      <xdr:colOff>610935</xdr:colOff>
      <xdr:row>11</xdr:row>
      <xdr:rowOff>142637</xdr:rowOff>
    </xdr:from>
    <xdr:to>
      <xdr:col>3</xdr:col>
      <xdr:colOff>793040</xdr:colOff>
      <xdr:row>12</xdr:row>
      <xdr:rowOff>111257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ECA923F-0F55-B6E1-613E-FAB542AD8515}"/>
                </a:ext>
              </a:extLst>
            </xdr14:cNvPr>
            <xdr14:cNvContentPartPr/>
          </xdr14:nvContentPartPr>
          <xdr14:nvPr macro=""/>
          <xdr14:xfrm>
            <a:off x="1420560" y="2230200"/>
            <a:ext cx="794880" cy="1591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ECA923F-0F55-B6E1-613E-FAB542AD851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14440" y="2224080"/>
              <a:ext cx="807120" cy="171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17</xdr:col>
      <xdr:colOff>209569</xdr:colOff>
      <xdr:row>14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B777AC-406D-1143-9F83-1230B0E3C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5"/>
          <a:ext cx="10572769" cy="26765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2T05:53:50.7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1 441 24575,'33'-2'0,"0"-1"0,0-2 0,0-2 0,41-13 0,-2 1 0,32-9 0,-64 15 0,0 3 0,0 1 0,1 2 0,63-3 0,41 13 0,165-6 0,-289 0 0,-1 0 0,40-14 0,-38 11 0,0 0 0,30-4 0,-23 5 0,0-2 0,52-18 0,-1 1 0,-50 16 0,1 2 0,-1 1 0,1 1 0,46 1 0,21 5 0,156-4 0,-249 1 7,0 0 0,0 0 0,-1-1 0,1 1 0,0-1 0,0 0-1,-1 0 1,1-1 0,-1 1 0,0-1 0,0 0 0,7-6 0,21-14-1462,-19 17-5371</inkml:trace>
  <inkml:trace contextRef="#ctx0" brushRef="#br0" timeOffset="1442.29">2202 111 24575,'-4'0'0,"-5"0"0,-5 0 0,1-4 0,-2-1 0,-2 0 0,1-3 0,1-3 0,-1-1 0,-2-1 0,-2 1 0,-1 3 0,3-1 0,1 2 0,0 1 0,-2 3 0,4 1-8191</inkml:trace>
  <inkml:trace contextRef="#ctx0" brushRef="#br0" timeOffset="4268.28">2202 132 24575,'1'43'0,"0"38"0,-2-74 0,1-1 0,-1 1 0,0-1 0,-1 1 0,0-1 0,0 1 0,0-1 0,-1 0 0,-4 7 0,4-10 0,0 1 0,0-2 0,0 1 0,-1 0 0,1-1 0,-1 1 0,0-1 0,0 0 0,0 0 0,0 0 0,0-1 0,0 0 0,-1 0 0,1 0 0,0 0 0,-1 0 0,1-1 0,0 0 0,-6 0 0,4 0 0,0 1 0,0-1 0,0 1 0,-1 0 0,1 1 0,0 0 0,1 0 0,-1 0 0,0 1 0,-5 3 0,-23 26-1365,27-21-5461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msung.com/in/?srsltid=AfmBOoqcWUEb0y82JjRKyDVGoqjByLqYOyDGe_0tiJL0me3BVHyVdq0c" TargetMode="External"/><Relationship Id="rId2" Type="http://schemas.openxmlformats.org/officeDocument/2006/relationships/hyperlink" Target="https://www.samsung.com/in/?srsltid=AfmBOoqcWUEb0y82JjRKyDVGoqjByLqYOyDGe_0tiJL0me3BVHyVdq0c" TargetMode="External"/><Relationship Id="rId1" Type="http://schemas.openxmlformats.org/officeDocument/2006/relationships/hyperlink" Target="https://www.samsung.com/in/?srsltid=AfmBOoqcWUEb0y82JjRKyDVGoqjByLqYOyDGe_0tiJL0me3BVHyVdq0c" TargetMode="External"/><Relationship Id="rId4" Type="http://schemas.openxmlformats.org/officeDocument/2006/relationships/hyperlink" Target="https://www.samsung.com/in/?srsltid=AfmBOoqcWUEb0y82JjRKyDVGoqjByLqYOyDGe_0tiJL0me3BVHyVdq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98BB-B679-44E3-ABF0-6FB21EA62753}">
  <sheetPr>
    <tabColor theme="5" tint="-0.249977111117893"/>
  </sheetPr>
  <dimension ref="A1:A19"/>
  <sheetViews>
    <sheetView workbookViewId="0">
      <selection activeCell="J16" sqref="J16"/>
    </sheetView>
  </sheetViews>
  <sheetFormatPr defaultRowHeight="15"/>
  <cols>
    <col min="1" max="16384" width="9.140625" style="31"/>
  </cols>
  <sheetData>
    <row r="1" spans="1:1" ht="18.75">
      <c r="A1" s="30" t="s">
        <v>143</v>
      </c>
    </row>
    <row r="3" spans="1:1">
      <c r="A3" s="32" t="s">
        <v>144</v>
      </c>
    </row>
    <row r="4" spans="1:1">
      <c r="A4" s="32"/>
    </row>
    <row r="5" spans="1:1">
      <c r="A5" s="32" t="s">
        <v>145</v>
      </c>
    </row>
    <row r="6" spans="1:1">
      <c r="A6" s="32"/>
    </row>
    <row r="7" spans="1:1">
      <c r="A7" s="32" t="s">
        <v>146</v>
      </c>
    </row>
    <row r="8" spans="1:1">
      <c r="A8" s="32"/>
    </row>
    <row r="9" spans="1:1">
      <c r="A9" s="32" t="s">
        <v>147</v>
      </c>
    </row>
    <row r="10" spans="1:1">
      <c r="A10" s="32"/>
    </row>
    <row r="11" spans="1:1">
      <c r="A11" s="32" t="s">
        <v>148</v>
      </c>
    </row>
    <row r="12" spans="1:1">
      <c r="A12" s="32"/>
    </row>
    <row r="13" spans="1:1">
      <c r="A13" s="32" t="s">
        <v>149</v>
      </c>
    </row>
    <row r="14" spans="1:1">
      <c r="A14" s="32"/>
    </row>
    <row r="15" spans="1:1">
      <c r="A15" s="32" t="s">
        <v>150</v>
      </c>
    </row>
    <row r="16" spans="1:1">
      <c r="A16" s="32"/>
    </row>
    <row r="17" spans="1:1">
      <c r="A17" s="32" t="s">
        <v>151</v>
      </c>
    </row>
    <row r="18" spans="1:1">
      <c r="A18" s="32"/>
    </row>
    <row r="19" spans="1:1">
      <c r="A19" s="32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5FEF-3871-4122-AB5D-CEC31ECE6AA6}">
  <sheetPr>
    <tabColor rgb="FF92D050"/>
  </sheetPr>
  <dimension ref="A1:M26"/>
  <sheetViews>
    <sheetView tabSelected="1" zoomScale="120" zoomScaleNormal="120" workbookViewId="0">
      <selection activeCell="D9" sqref="D9"/>
    </sheetView>
  </sheetViews>
  <sheetFormatPr defaultRowHeight="15"/>
  <cols>
    <col min="1" max="1" width="3" bestFit="1" customWidth="1"/>
    <col min="2" max="2" width="28" customWidth="1"/>
    <col min="4" max="4" width="15.140625" customWidth="1"/>
    <col min="5" max="5" width="9.140625" customWidth="1"/>
    <col min="8" max="8" width="4.140625" customWidth="1"/>
    <col min="12" max="12" width="15.5703125" customWidth="1"/>
  </cols>
  <sheetData>
    <row r="1" spans="1:13">
      <c r="A1" s="12">
        <v>1</v>
      </c>
      <c r="B1" s="13" t="s">
        <v>15</v>
      </c>
      <c r="C1" s="9"/>
      <c r="H1" s="12">
        <v>21</v>
      </c>
      <c r="I1" s="9" t="s">
        <v>24</v>
      </c>
    </row>
    <row r="2" spans="1:13">
      <c r="A2" s="12">
        <v>2</v>
      </c>
      <c r="B2" s="13" t="s">
        <v>13</v>
      </c>
      <c r="C2" s="9"/>
      <c r="H2" s="12">
        <v>22</v>
      </c>
      <c r="I2" s="9" t="s">
        <v>25</v>
      </c>
    </row>
    <row r="3" spans="1:13" ht="15.75" customHeight="1">
      <c r="A3" s="12">
        <v>3</v>
      </c>
      <c r="B3" s="9" t="s">
        <v>14</v>
      </c>
      <c r="C3" s="9"/>
      <c r="H3" s="12">
        <v>23</v>
      </c>
      <c r="I3" s="9" t="s">
        <v>26</v>
      </c>
      <c r="J3" s="7"/>
    </row>
    <row r="4" spans="1:13" ht="19.5" customHeight="1">
      <c r="A4" s="12">
        <v>4</v>
      </c>
      <c r="B4" s="35" t="s">
        <v>16</v>
      </c>
      <c r="H4" s="12">
        <v>24</v>
      </c>
      <c r="I4" s="9" t="s">
        <v>27</v>
      </c>
    </row>
    <row r="5" spans="1:13">
      <c r="A5" s="12">
        <v>5</v>
      </c>
      <c r="B5" s="9" t="s">
        <v>17</v>
      </c>
      <c r="H5" s="12">
        <v>25</v>
      </c>
      <c r="I5" s="9" t="s">
        <v>28</v>
      </c>
    </row>
    <row r="6" spans="1:13">
      <c r="A6" s="12">
        <v>6</v>
      </c>
      <c r="B6" s="9" t="s">
        <v>18</v>
      </c>
      <c r="H6" s="12">
        <v>26</v>
      </c>
      <c r="I6" s="9" t="s">
        <v>29</v>
      </c>
    </row>
    <row r="7" spans="1:13">
      <c r="A7" s="12">
        <v>7</v>
      </c>
      <c r="B7" s="9" t="s">
        <v>19</v>
      </c>
      <c r="H7" s="12">
        <v>27</v>
      </c>
      <c r="I7" s="9" t="s">
        <v>167</v>
      </c>
    </row>
    <row r="8" spans="1:13">
      <c r="A8" s="12">
        <v>8</v>
      </c>
      <c r="B8" s="9" t="s">
        <v>32</v>
      </c>
      <c r="C8" s="9"/>
      <c r="H8" s="12">
        <v>28</v>
      </c>
      <c r="I8" s="9" t="s">
        <v>168</v>
      </c>
    </row>
    <row r="9" spans="1:13">
      <c r="A9" s="12">
        <v>9</v>
      </c>
      <c r="B9" s="9" t="s">
        <v>33</v>
      </c>
      <c r="C9" s="9"/>
      <c r="H9" s="12">
        <v>29</v>
      </c>
      <c r="I9" s="9" t="s">
        <v>30</v>
      </c>
    </row>
    <row r="10" spans="1:13" ht="14.25" customHeight="1">
      <c r="A10" s="12">
        <v>10</v>
      </c>
      <c r="B10" s="9" t="s">
        <v>34</v>
      </c>
      <c r="C10" s="9"/>
      <c r="H10" s="12">
        <v>30</v>
      </c>
      <c r="I10" s="9" t="s">
        <v>31</v>
      </c>
    </row>
    <row r="11" spans="1:13">
      <c r="A11" s="12">
        <v>11</v>
      </c>
      <c r="B11" s="9" t="s">
        <v>35</v>
      </c>
      <c r="C11" s="9"/>
      <c r="H11" s="12">
        <v>31</v>
      </c>
      <c r="I11" s="9" t="s">
        <v>49</v>
      </c>
      <c r="M11" t="s">
        <v>39</v>
      </c>
    </row>
    <row r="12" spans="1:13">
      <c r="A12" s="12">
        <v>12</v>
      </c>
      <c r="B12" s="9" t="s">
        <v>36</v>
      </c>
      <c r="C12" s="9"/>
      <c r="H12" s="12">
        <v>32</v>
      </c>
      <c r="I12" s="9" t="s">
        <v>50</v>
      </c>
    </row>
    <row r="13" spans="1:13">
      <c r="A13" s="12">
        <v>13</v>
      </c>
      <c r="B13" s="9" t="s">
        <v>37</v>
      </c>
      <c r="C13" s="9"/>
      <c r="H13" s="12">
        <v>33</v>
      </c>
      <c r="I13" s="9" t="s">
        <v>51</v>
      </c>
    </row>
    <row r="14" spans="1:13">
      <c r="A14" s="12">
        <v>14</v>
      </c>
      <c r="B14" s="9" t="s">
        <v>40</v>
      </c>
      <c r="C14" s="9"/>
      <c r="H14" s="12">
        <v>34</v>
      </c>
      <c r="I14" s="9" t="s">
        <v>52</v>
      </c>
    </row>
    <row r="15" spans="1:13">
      <c r="A15" s="12">
        <v>15</v>
      </c>
      <c r="B15" s="9" t="s">
        <v>153</v>
      </c>
      <c r="C15" s="9"/>
      <c r="H15" s="12">
        <v>35</v>
      </c>
      <c r="I15" s="9" t="s">
        <v>53</v>
      </c>
    </row>
    <row r="16" spans="1:13">
      <c r="A16" s="12">
        <v>16</v>
      </c>
      <c r="B16" s="9" t="s">
        <v>38</v>
      </c>
      <c r="C16" s="9"/>
      <c r="H16" s="12">
        <v>36</v>
      </c>
      <c r="I16" s="9" t="s">
        <v>54</v>
      </c>
    </row>
    <row r="17" spans="1:11">
      <c r="A17" s="12">
        <v>17</v>
      </c>
      <c r="B17" s="9" t="s">
        <v>20</v>
      </c>
      <c r="C17" s="9"/>
      <c r="H17" s="12"/>
    </row>
    <row r="18" spans="1:11">
      <c r="A18" s="12">
        <v>18</v>
      </c>
      <c r="B18" s="9" t="s">
        <v>21</v>
      </c>
      <c r="C18" s="9"/>
      <c r="H18" s="12"/>
    </row>
    <row r="19" spans="1:11">
      <c r="A19" s="12">
        <v>19</v>
      </c>
      <c r="B19" s="9" t="s">
        <v>22</v>
      </c>
      <c r="C19" s="9"/>
      <c r="H19" s="12"/>
    </row>
    <row r="20" spans="1:11">
      <c r="A20" s="12">
        <v>20</v>
      </c>
      <c r="B20" s="11" t="s">
        <v>23</v>
      </c>
      <c r="C20" s="9"/>
      <c r="H20" s="12"/>
      <c r="K20" s="6"/>
    </row>
    <row r="22" spans="1:11">
      <c r="B22" s="9" t="s">
        <v>154</v>
      </c>
      <c r="C22" t="s">
        <v>155</v>
      </c>
    </row>
    <row r="23" spans="1:11">
      <c r="B23" s="9" t="s">
        <v>156</v>
      </c>
      <c r="C23" t="s">
        <v>157</v>
      </c>
    </row>
    <row r="24" spans="1:11">
      <c r="B24" s="9" t="s">
        <v>158</v>
      </c>
      <c r="C24" t="s">
        <v>159</v>
      </c>
      <c r="J24" s="33"/>
    </row>
    <row r="25" spans="1:11">
      <c r="B25" s="9" t="s">
        <v>160</v>
      </c>
      <c r="C25" t="s">
        <v>161</v>
      </c>
    </row>
    <row r="26" spans="1:11">
      <c r="B26" s="9" t="s">
        <v>162</v>
      </c>
      <c r="C26" t="s">
        <v>163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614F-D675-46DA-9A65-1767DFDA1994}">
  <sheetPr>
    <tabColor rgb="FFFF0000"/>
  </sheetPr>
  <dimension ref="A1"/>
  <sheetViews>
    <sheetView workbookViewId="0">
      <selection activeCell="S11" sqref="S11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05E2-DAC9-4555-8613-43C6EDEC656B}">
  <sheetPr>
    <tabColor rgb="FFFFFF00"/>
  </sheetPr>
  <dimension ref="A1:N11"/>
  <sheetViews>
    <sheetView zoomScale="120" zoomScaleNormal="120" workbookViewId="0">
      <selection activeCell="M5" sqref="M5"/>
    </sheetView>
  </sheetViews>
  <sheetFormatPr defaultRowHeight="15"/>
  <cols>
    <col min="4" max="4" width="18.140625" bestFit="1" customWidth="1"/>
    <col min="5" max="5" width="13.5703125" customWidth="1"/>
    <col min="11" max="11" width="18.140625" bestFit="1" customWidth="1"/>
    <col min="12" max="12" width="14.42578125" bestFit="1" customWidth="1"/>
    <col min="13" max="13" width="12.7109375" bestFit="1" customWidth="1"/>
  </cols>
  <sheetData>
    <row r="1" spans="1:14" ht="27" customHeight="1">
      <c r="A1" s="1" t="s">
        <v>0</v>
      </c>
      <c r="B1" s="1" t="s">
        <v>1</v>
      </c>
      <c r="C1" s="1" t="s">
        <v>2</v>
      </c>
      <c r="D1" s="1" t="s">
        <v>3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10</v>
      </c>
      <c r="M1" s="1" t="s">
        <v>11</v>
      </c>
    </row>
    <row r="2" spans="1:14">
      <c r="A2" s="2" t="s">
        <v>4</v>
      </c>
      <c r="B2" s="2">
        <v>10</v>
      </c>
      <c r="C2" s="2">
        <v>3</v>
      </c>
      <c r="D2" s="3">
        <f>B2*C2</f>
        <v>30</v>
      </c>
      <c r="E2" s="8" t="s">
        <v>8</v>
      </c>
      <c r="H2" s="2" t="s">
        <v>4</v>
      </c>
      <c r="I2" s="2">
        <v>10</v>
      </c>
      <c r="J2" s="2">
        <v>3</v>
      </c>
      <c r="K2" s="3">
        <f>I2*J2</f>
        <v>30</v>
      </c>
      <c r="L2" s="4">
        <v>0.1</v>
      </c>
      <c r="M2" s="5">
        <f>K2*$L$2</f>
        <v>3</v>
      </c>
      <c r="N2" s="8" t="s">
        <v>9</v>
      </c>
    </row>
    <row r="3" spans="1:14">
      <c r="A3" s="2" t="s">
        <v>5</v>
      </c>
      <c r="B3" s="2">
        <v>15</v>
      </c>
      <c r="C3" s="2">
        <v>5</v>
      </c>
      <c r="D3" s="3">
        <f t="shared" ref="D3:D4" si="0">B3*C3</f>
        <v>75</v>
      </c>
      <c r="E3" s="8" t="s">
        <v>8</v>
      </c>
      <c r="H3" s="2" t="s">
        <v>5</v>
      </c>
      <c r="I3" s="2">
        <v>15</v>
      </c>
      <c r="J3" s="2">
        <v>4</v>
      </c>
      <c r="K3" s="3">
        <f>I3*J3</f>
        <v>60</v>
      </c>
      <c r="L3" s="3"/>
      <c r="M3" s="5">
        <f t="shared" ref="M3:M4" si="1">K3*$L$2</f>
        <v>6</v>
      </c>
      <c r="N3" s="8" t="s">
        <v>9</v>
      </c>
    </row>
    <row r="4" spans="1:14">
      <c r="A4" s="2" t="s">
        <v>6</v>
      </c>
      <c r="B4" s="2">
        <v>8</v>
      </c>
      <c r="C4" s="2">
        <v>5</v>
      </c>
      <c r="D4" s="3">
        <f t="shared" si="0"/>
        <v>40</v>
      </c>
      <c r="E4" s="8" t="s">
        <v>8</v>
      </c>
      <c r="H4" s="2" t="s">
        <v>6</v>
      </c>
      <c r="I4" s="2">
        <v>8</v>
      </c>
      <c r="J4" s="2">
        <v>5</v>
      </c>
      <c r="K4" s="3">
        <f>I4*J4</f>
        <v>40</v>
      </c>
      <c r="L4" s="3"/>
      <c r="M4" s="5">
        <f t="shared" si="1"/>
        <v>4</v>
      </c>
      <c r="N4" s="8" t="s">
        <v>9</v>
      </c>
    </row>
    <row r="6" spans="1:14" ht="30" customHeight="1">
      <c r="A6" s="47" t="s">
        <v>55</v>
      </c>
      <c r="B6" s="47"/>
      <c r="C6" s="47"/>
      <c r="D6" s="47"/>
      <c r="E6" s="47"/>
      <c r="F6" s="47"/>
      <c r="H6" s="9" t="s">
        <v>59</v>
      </c>
    </row>
    <row r="7" spans="1:14">
      <c r="A7" s="8" t="s">
        <v>7</v>
      </c>
      <c r="B7" s="8"/>
      <c r="C7" s="8"/>
      <c r="D7" s="8"/>
      <c r="E7" s="8"/>
      <c r="F7" s="8"/>
      <c r="H7" s="8" t="s">
        <v>60</v>
      </c>
    </row>
    <row r="8" spans="1:14">
      <c r="A8" s="9" t="s">
        <v>56</v>
      </c>
      <c r="B8" s="8"/>
      <c r="C8" s="8"/>
      <c r="D8" s="8"/>
      <c r="E8" s="8"/>
      <c r="F8" s="8"/>
      <c r="H8" s="8" t="s">
        <v>61</v>
      </c>
    </row>
    <row r="9" spans="1:14">
      <c r="A9" s="8" t="s">
        <v>57</v>
      </c>
      <c r="B9" s="8"/>
      <c r="C9" s="8"/>
      <c r="D9" s="8"/>
      <c r="E9" s="8"/>
      <c r="F9" s="8"/>
      <c r="H9" s="10" t="s">
        <v>12</v>
      </c>
    </row>
    <row r="10" spans="1:14">
      <c r="A10" s="10" t="s">
        <v>58</v>
      </c>
      <c r="B10" s="8"/>
      <c r="C10" s="8"/>
      <c r="D10" s="8"/>
      <c r="E10" s="8"/>
      <c r="F10" s="8"/>
    </row>
    <row r="11" spans="1:14">
      <c r="E11" s="8"/>
    </row>
  </sheetData>
  <mergeCells count="1">
    <mergeCell ref="A6:F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0C4E-968B-486B-B0BD-538F9EFF80AC}">
  <sheetPr>
    <tabColor theme="5"/>
  </sheetPr>
  <dimension ref="A1:W22"/>
  <sheetViews>
    <sheetView workbookViewId="0">
      <selection activeCell="V15" sqref="V15"/>
    </sheetView>
  </sheetViews>
  <sheetFormatPr defaultRowHeight="15"/>
  <cols>
    <col min="4" max="4" width="10.5703125" bestFit="1" customWidth="1"/>
    <col min="7" max="7" width="11.85546875" bestFit="1" customWidth="1"/>
    <col min="13" max="13" width="11.7109375" customWidth="1"/>
    <col min="14" max="14" width="11.7109375" bestFit="1" customWidth="1"/>
    <col min="15" max="15" width="9.28515625" bestFit="1" customWidth="1"/>
  </cols>
  <sheetData>
    <row r="1" spans="1:23" ht="17.25">
      <c r="A1" s="36" t="s">
        <v>169</v>
      </c>
    </row>
    <row r="2" spans="1:23" ht="18.75">
      <c r="A2" s="37" t="s">
        <v>170</v>
      </c>
      <c r="D2" s="37" t="s">
        <v>171</v>
      </c>
      <c r="G2" s="37" t="s">
        <v>172</v>
      </c>
      <c r="I2" s="38"/>
      <c r="M2" s="37" t="s">
        <v>173</v>
      </c>
      <c r="Q2" s="8" t="s">
        <v>174</v>
      </c>
      <c r="U2" s="8" t="s">
        <v>199</v>
      </c>
      <c r="W2" s="8" t="s">
        <v>200</v>
      </c>
    </row>
    <row r="3" spans="1:23">
      <c r="A3" s="39" t="s">
        <v>175</v>
      </c>
      <c r="D3" s="39" t="s">
        <v>175</v>
      </c>
      <c r="G3" s="39" t="s">
        <v>99</v>
      </c>
      <c r="H3" s="39" t="s">
        <v>176</v>
      </c>
      <c r="M3" s="40" t="s">
        <v>177</v>
      </c>
      <c r="Q3" s="40">
        <v>45</v>
      </c>
      <c r="U3" s="39" t="s">
        <v>175</v>
      </c>
      <c r="W3" s="39" t="s">
        <v>175</v>
      </c>
    </row>
    <row r="4" spans="1:23">
      <c r="A4" s="41">
        <v>50</v>
      </c>
      <c r="D4" s="42">
        <v>50</v>
      </c>
      <c r="G4" s="43" t="s">
        <v>178</v>
      </c>
      <c r="H4" s="43">
        <v>5</v>
      </c>
      <c r="M4" s="40">
        <v>60</v>
      </c>
      <c r="Q4" s="40">
        <v>60</v>
      </c>
      <c r="U4" s="42">
        <v>50</v>
      </c>
      <c r="W4" s="42">
        <v>50</v>
      </c>
    </row>
    <row r="5" spans="1:23">
      <c r="A5" s="41" t="s">
        <v>88</v>
      </c>
      <c r="D5" s="42">
        <v>60</v>
      </c>
      <c r="G5" s="43" t="s">
        <v>100</v>
      </c>
      <c r="H5" s="43">
        <v>6</v>
      </c>
      <c r="M5" s="40" t="s">
        <v>179</v>
      </c>
      <c r="Q5" s="40" t="s">
        <v>180</v>
      </c>
      <c r="U5" s="42">
        <v>60</v>
      </c>
      <c r="W5" s="42">
        <v>60</v>
      </c>
    </row>
    <row r="6" spans="1:23">
      <c r="A6" s="41">
        <v>80</v>
      </c>
      <c r="D6" s="42">
        <v>80</v>
      </c>
      <c r="G6" s="43" t="s">
        <v>178</v>
      </c>
      <c r="H6" s="43">
        <v>4</v>
      </c>
      <c r="M6" s="40" t="s">
        <v>164</v>
      </c>
      <c r="Q6" s="40" t="s">
        <v>164</v>
      </c>
      <c r="U6" s="42">
        <v>80</v>
      </c>
      <c r="W6" s="42">
        <v>80</v>
      </c>
    </row>
    <row r="7" spans="1:23">
      <c r="A7" s="41">
        <v>90</v>
      </c>
      <c r="D7" s="42">
        <v>90</v>
      </c>
      <c r="G7" s="43" t="s">
        <v>100</v>
      </c>
      <c r="H7" s="43">
        <v>2</v>
      </c>
      <c r="M7" s="40">
        <v>100</v>
      </c>
      <c r="N7">
        <f>COUNTA(M3:M8)</f>
        <v>6</v>
      </c>
      <c r="Q7" s="40">
        <v>100</v>
      </c>
      <c r="U7" s="42">
        <v>90</v>
      </c>
      <c r="W7" s="42">
        <v>90</v>
      </c>
    </row>
    <row r="8" spans="1:23">
      <c r="A8" s="41">
        <v>70</v>
      </c>
      <c r="D8" s="42">
        <v>70</v>
      </c>
      <c r="G8" s="43" t="s">
        <v>178</v>
      </c>
      <c r="H8" s="43">
        <v>1</v>
      </c>
      <c r="M8" s="40" t="s">
        <v>181</v>
      </c>
      <c r="Q8" s="40" t="s">
        <v>181</v>
      </c>
      <c r="U8" s="42">
        <v>70</v>
      </c>
      <c r="W8" s="42">
        <v>70</v>
      </c>
    </row>
    <row r="9" spans="1:23" ht="18.75">
      <c r="A9" s="41">
        <v>90</v>
      </c>
      <c r="D9" s="42">
        <v>90</v>
      </c>
      <c r="G9" s="44"/>
      <c r="H9" s="44">
        <f>COUNTIFS(G4:G8,"Laptop",H4:H8,"&gt;4")</f>
        <v>1</v>
      </c>
      <c r="I9">
        <f>COUNTIFS(G4:G8,"smartphone",H4:H8,"&gt;4")</f>
        <v>1</v>
      </c>
      <c r="M9" s="45">
        <f>COUNTA(M3:M8)</f>
        <v>6</v>
      </c>
      <c r="N9" s="38" t="s">
        <v>182</v>
      </c>
      <c r="Q9" s="40"/>
      <c r="U9" s="42">
        <v>90</v>
      </c>
      <c r="W9" s="42">
        <v>90</v>
      </c>
    </row>
    <row r="10" spans="1:23" ht="18.75">
      <c r="A10" s="44">
        <f>COUNT(A4:A9)</f>
        <v>5</v>
      </c>
      <c r="B10">
        <f>COUNT(A4:A9)</f>
        <v>5</v>
      </c>
      <c r="D10" s="44">
        <f>COUNTIF(D4:D9,"&gt;60")</f>
        <v>4</v>
      </c>
      <c r="E10">
        <f>COUNTIF(D4:D9,"&gt;70")</f>
        <v>3</v>
      </c>
      <c r="G10" s="38" t="s">
        <v>183</v>
      </c>
      <c r="M10" s="39">
        <f>COUNT(M3:M8)</f>
        <v>2</v>
      </c>
      <c r="N10" s="38" t="s">
        <v>184</v>
      </c>
      <c r="Q10" s="40">
        <v>75</v>
      </c>
      <c r="U10" s="44">
        <f>MAX(U4:U9)</f>
        <v>90</v>
      </c>
      <c r="W10" s="44">
        <f>MIN(W4:W9)</f>
        <v>50</v>
      </c>
    </row>
    <row r="11" spans="1:23" ht="18.75">
      <c r="A11" s="38" t="s">
        <v>184</v>
      </c>
      <c r="D11" s="38" t="s">
        <v>185</v>
      </c>
      <c r="Q11" s="40" t="s">
        <v>186</v>
      </c>
      <c r="R11">
        <f>COUNTBLANK(Q3:Q13)</f>
        <v>2</v>
      </c>
    </row>
    <row r="12" spans="1:23">
      <c r="Q12" s="40"/>
    </row>
    <row r="13" spans="1:23" ht="17.25">
      <c r="A13" s="37" t="s">
        <v>187</v>
      </c>
      <c r="D13" s="37" t="s">
        <v>188</v>
      </c>
      <c r="G13" s="37" t="s">
        <v>189</v>
      </c>
      <c r="N13" s="37" t="s">
        <v>197</v>
      </c>
      <c r="Q13" s="40">
        <v>200</v>
      </c>
    </row>
    <row r="14" spans="1:23" ht="18.75">
      <c r="A14" s="39" t="s">
        <v>175</v>
      </c>
      <c r="D14" s="39" t="s">
        <v>175</v>
      </c>
      <c r="G14" s="39" t="s">
        <v>99</v>
      </c>
      <c r="H14" s="39" t="s">
        <v>190</v>
      </c>
      <c r="I14" s="39" t="s">
        <v>176</v>
      </c>
      <c r="K14" s="43" t="s">
        <v>191</v>
      </c>
      <c r="L14" s="43" t="s">
        <v>192</v>
      </c>
      <c r="N14" s="39" t="s">
        <v>198</v>
      </c>
      <c r="Q14" s="45">
        <f>COUNTBLANK(Q3:Q13)</f>
        <v>2</v>
      </c>
      <c r="R14" s="38" t="s">
        <v>193</v>
      </c>
    </row>
    <row r="15" spans="1:23">
      <c r="A15" s="41">
        <v>50</v>
      </c>
      <c r="D15" s="41">
        <v>50</v>
      </c>
      <c r="G15" s="43" t="s">
        <v>178</v>
      </c>
      <c r="H15" s="43" t="s">
        <v>192</v>
      </c>
      <c r="I15" s="43">
        <v>5</v>
      </c>
      <c r="N15" s="41">
        <v>50</v>
      </c>
      <c r="Q15">
        <f>COUNTA(Q3:Q13)</f>
        <v>9</v>
      </c>
    </row>
    <row r="16" spans="1:23">
      <c r="A16" s="41">
        <v>60</v>
      </c>
      <c r="D16" s="41">
        <v>60</v>
      </c>
      <c r="G16" s="43" t="s">
        <v>100</v>
      </c>
      <c r="H16" s="43" t="s">
        <v>106</v>
      </c>
      <c r="I16" s="43">
        <v>6</v>
      </c>
      <c r="N16" s="41">
        <v>60</v>
      </c>
    </row>
    <row r="17" spans="1:14">
      <c r="A17" s="41">
        <v>70</v>
      </c>
      <c r="D17" s="41">
        <v>70</v>
      </c>
      <c r="G17" s="43" t="s">
        <v>178</v>
      </c>
      <c r="H17" s="43" t="s">
        <v>106</v>
      </c>
      <c r="I17" s="43">
        <v>4</v>
      </c>
      <c r="K17">
        <f>SUMIFS(I15:I19,G15:G19,K14,H15:H19,L14)</f>
        <v>10</v>
      </c>
      <c r="N17" s="41">
        <v>70</v>
      </c>
    </row>
    <row r="18" spans="1:14">
      <c r="A18" s="41">
        <v>90</v>
      </c>
      <c r="D18" s="41">
        <v>90</v>
      </c>
      <c r="G18" s="43" t="s">
        <v>100</v>
      </c>
      <c r="H18" s="43" t="s">
        <v>192</v>
      </c>
      <c r="I18" s="43">
        <v>2</v>
      </c>
      <c r="N18" s="41">
        <v>90</v>
      </c>
    </row>
    <row r="19" spans="1:14">
      <c r="A19" s="44">
        <f>SUM(A15:A18)</f>
        <v>270</v>
      </c>
      <c r="D19" s="44">
        <f>SUMIF(D15:D18,"&gt;60")</f>
        <v>160</v>
      </c>
      <c r="G19" s="43" t="s">
        <v>178</v>
      </c>
      <c r="H19" s="43" t="s">
        <v>192</v>
      </c>
      <c r="I19" s="43">
        <v>5</v>
      </c>
      <c r="N19" s="44">
        <f>AVERAGE(N15:N18)</f>
        <v>67.5</v>
      </c>
    </row>
    <row r="20" spans="1:14" ht="18.75">
      <c r="A20" s="38" t="s">
        <v>194</v>
      </c>
      <c r="D20" s="46" t="s">
        <v>195</v>
      </c>
      <c r="G20" s="44"/>
      <c r="H20" s="44"/>
      <c r="I20" s="44">
        <f>SUMIFS(I15:I19,G15:G19,"Smartphone",H15:H19,"Samsung")</f>
        <v>10</v>
      </c>
      <c r="J20">
        <f>SUMIFS(I15:I19,G15:G19,G15,H15:H19,H15)</f>
        <v>10</v>
      </c>
    </row>
    <row r="22" spans="1:14" ht="18.75">
      <c r="A22">
        <f>SUM(A15:A18)</f>
        <v>270</v>
      </c>
      <c r="D22">
        <f>SUMIF(D15:D18,"&gt;60")</f>
        <v>160</v>
      </c>
      <c r="G22" s="38" t="s">
        <v>196</v>
      </c>
    </row>
  </sheetData>
  <hyperlinks>
    <hyperlink ref="H15" r:id="rId1" display="https://www.samsung.com/in/?srsltid=AfmBOoqcWUEb0y82JjRKyDVGoqjByLqYOyDGe_0tiJL0me3BVHyVdq0c" xr:uid="{D998BC42-F1ED-44E3-B07C-32F9DC84EF17}"/>
    <hyperlink ref="H18" r:id="rId2" display="https://www.samsung.com/in/?srsltid=AfmBOoqcWUEb0y82JjRKyDVGoqjByLqYOyDGe_0tiJL0me3BVHyVdq0c" xr:uid="{791CCD2E-78CE-483D-BD2E-F744AF961660}"/>
    <hyperlink ref="L14" r:id="rId3" display="https://www.samsung.com/in/?srsltid=AfmBOoqcWUEb0y82JjRKyDVGoqjByLqYOyDGe_0tiJL0me3BVHyVdq0c" xr:uid="{810BA400-46EC-48F1-954B-7517CF71B0D3}"/>
    <hyperlink ref="H19" r:id="rId4" display="https://www.samsung.com/in/?srsltid=AfmBOoqcWUEb0y82JjRKyDVGoqjByLqYOyDGe_0tiJL0me3BVHyVdq0c" xr:uid="{338D95D5-6AEE-4438-9381-5862BBFD28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3E1D-2E71-45BE-8004-CC3AB7D0036D}">
  <sheetPr>
    <tabColor rgb="FF00B050"/>
  </sheetPr>
  <dimension ref="A1:V12"/>
  <sheetViews>
    <sheetView zoomScale="130" zoomScaleNormal="130" workbookViewId="0">
      <selection activeCell="W10" sqref="W10"/>
    </sheetView>
  </sheetViews>
  <sheetFormatPr defaultRowHeight="15"/>
  <cols>
    <col min="7" max="7" width="8.28515625" customWidth="1"/>
    <col min="8" max="8" width="11.7109375" customWidth="1"/>
    <col min="9" max="9" width="11.42578125" customWidth="1"/>
    <col min="10" max="10" width="7.85546875" customWidth="1"/>
    <col min="12" max="12" width="10.5703125" bestFit="1" customWidth="1"/>
    <col min="13" max="13" width="10.28515625" bestFit="1" customWidth="1"/>
    <col min="15" max="15" width="12.42578125" bestFit="1" customWidth="1"/>
    <col min="16" max="16" width="7.28515625" bestFit="1" customWidth="1"/>
    <col min="17" max="17" width="11.85546875" bestFit="1" customWidth="1"/>
    <col min="18" max="18" width="6.42578125" bestFit="1" customWidth="1"/>
    <col min="19" max="19" width="10" bestFit="1" customWidth="1"/>
    <col min="20" max="20" width="12" bestFit="1" customWidth="1"/>
  </cols>
  <sheetData>
    <row r="1" spans="1:22" ht="21">
      <c r="A1" s="17" t="s">
        <v>66</v>
      </c>
    </row>
    <row r="2" spans="1:22">
      <c r="A2" s="15" t="s">
        <v>67</v>
      </c>
      <c r="B2" s="15" t="s">
        <v>68</v>
      </c>
      <c r="G2" s="19" t="s">
        <v>73</v>
      </c>
      <c r="H2" s="19" t="s">
        <v>75</v>
      </c>
      <c r="I2" s="19" t="s">
        <v>74</v>
      </c>
      <c r="J2" s="19" t="s">
        <v>76</v>
      </c>
      <c r="O2" s="22" t="s">
        <v>86</v>
      </c>
      <c r="P2" s="22" t="s">
        <v>41</v>
      </c>
      <c r="Q2" s="22" t="s">
        <v>42</v>
      </c>
      <c r="R2" s="22" t="s">
        <v>76</v>
      </c>
      <c r="S2" s="24" t="s">
        <v>92</v>
      </c>
      <c r="T2" s="22" t="s">
        <v>91</v>
      </c>
    </row>
    <row r="3" spans="1:22">
      <c r="A3" s="14">
        <v>30</v>
      </c>
      <c r="B3" s="14" t="s">
        <v>72</v>
      </c>
      <c r="D3" s="15" t="s">
        <v>67</v>
      </c>
      <c r="E3" s="18">
        <v>88</v>
      </c>
      <c r="G3" s="14">
        <v>1</v>
      </c>
      <c r="H3" s="14" t="s">
        <v>62</v>
      </c>
      <c r="I3" s="14" t="s">
        <v>79</v>
      </c>
      <c r="J3" s="14">
        <v>30000</v>
      </c>
      <c r="L3" s="19" t="s">
        <v>75</v>
      </c>
      <c r="M3" s="14">
        <v>4</v>
      </c>
      <c r="O3" s="21">
        <v>101</v>
      </c>
      <c r="P3" s="21" t="s">
        <v>44</v>
      </c>
      <c r="Q3" s="21" t="s">
        <v>43</v>
      </c>
      <c r="R3" s="21">
        <v>60000</v>
      </c>
      <c r="S3" s="14" t="str">
        <f>VLOOKUP(O3,HLOOKUP!A2:C7,3,0)</f>
        <v>Mumbai</v>
      </c>
      <c r="T3" s="34">
        <f>VLOOKUP(O3,HLOOKUP!A2:C7,2,0)</f>
        <v>43842</v>
      </c>
      <c r="V3" s="8" t="s">
        <v>203</v>
      </c>
    </row>
    <row r="4" spans="1:22">
      <c r="A4" s="14">
        <v>60.5</v>
      </c>
      <c r="B4" s="14" t="s">
        <v>71</v>
      </c>
      <c r="D4" s="15" t="s">
        <v>68</v>
      </c>
      <c r="E4" s="18" t="str">
        <f>VLOOKUP(E3,A2:B7,2,FALSE)</f>
        <v>A</v>
      </c>
      <c r="G4" s="14">
        <v>2</v>
      </c>
      <c r="H4" s="14" t="s">
        <v>48</v>
      </c>
      <c r="I4" s="14" t="s">
        <v>80</v>
      </c>
      <c r="J4" s="14">
        <v>40000</v>
      </c>
      <c r="L4" s="19" t="s">
        <v>76</v>
      </c>
      <c r="M4" s="19">
        <f>VLOOKUP(M3,G2:J9,4,0)</f>
        <v>80000</v>
      </c>
      <c r="O4" s="21">
        <v>102</v>
      </c>
      <c r="P4" s="21" t="s">
        <v>87</v>
      </c>
      <c r="Q4" s="21" t="s">
        <v>45</v>
      </c>
      <c r="R4" s="21">
        <v>55000</v>
      </c>
      <c r="S4" s="14" t="str">
        <f>VLOOKUP(O4,HLOOKUP!A3:C8,3,0)</f>
        <v>Delhi</v>
      </c>
      <c r="T4" s="34">
        <f>VLOOKUP(O4,HLOOKUP!A3:C8,2,0)</f>
        <v>43529</v>
      </c>
    </row>
    <row r="5" spans="1:22">
      <c r="A5" s="14">
        <v>85</v>
      </c>
      <c r="B5" s="14" t="s">
        <v>166</v>
      </c>
      <c r="G5" s="14">
        <v>3</v>
      </c>
      <c r="H5" s="14" t="s">
        <v>63</v>
      </c>
      <c r="I5" s="14" t="s">
        <v>81</v>
      </c>
      <c r="J5" s="14">
        <v>50000</v>
      </c>
      <c r="O5" s="21">
        <v>103</v>
      </c>
      <c r="P5" s="21" t="s">
        <v>88</v>
      </c>
      <c r="Q5" s="21" t="s">
        <v>46</v>
      </c>
      <c r="R5" s="21">
        <v>70000</v>
      </c>
      <c r="S5" s="14" t="str">
        <f>VLOOKUP(O5,HLOOKUP!A4:C9,3,0)</f>
        <v>Bangalore</v>
      </c>
      <c r="T5" s="34">
        <f>VLOOKUP(O5,HLOOKUP!A4:C9,2,0)</f>
        <v>44395</v>
      </c>
      <c r="V5" s="8" t="s">
        <v>204</v>
      </c>
    </row>
    <row r="6" spans="1:22">
      <c r="A6" s="14">
        <v>88</v>
      </c>
      <c r="B6" s="14" t="s">
        <v>69</v>
      </c>
      <c r="G6" s="14">
        <v>4</v>
      </c>
      <c r="H6" s="14" t="s">
        <v>64</v>
      </c>
      <c r="I6" s="14" t="s">
        <v>82</v>
      </c>
      <c r="J6" s="14">
        <v>80000</v>
      </c>
      <c r="O6" s="21">
        <v>104</v>
      </c>
      <c r="P6" s="21" t="s">
        <v>89</v>
      </c>
      <c r="Q6" s="21" t="s">
        <v>43</v>
      </c>
      <c r="R6" s="21">
        <v>65000</v>
      </c>
      <c r="S6" s="14" t="str">
        <f>VLOOKUP(O6,HLOOKUP!A5:C10,3,0)</f>
        <v>Chennai</v>
      </c>
      <c r="T6" s="34">
        <f>VLOOKUP(O6,HLOOKUP!A5:C10,2,0)</f>
        <v>44096</v>
      </c>
    </row>
    <row r="7" spans="1:22">
      <c r="A7" s="14">
        <v>70</v>
      </c>
      <c r="B7" s="14" t="s">
        <v>70</v>
      </c>
      <c r="G7" s="14">
        <v>5</v>
      </c>
      <c r="H7" s="14" t="s">
        <v>65</v>
      </c>
      <c r="I7" s="14" t="s">
        <v>83</v>
      </c>
      <c r="J7" s="14">
        <v>45000</v>
      </c>
      <c r="L7" s="8" t="s">
        <v>202</v>
      </c>
      <c r="O7" s="21">
        <v>105</v>
      </c>
      <c r="P7" s="21" t="s">
        <v>90</v>
      </c>
      <c r="Q7" s="21" t="s">
        <v>47</v>
      </c>
      <c r="R7" s="21">
        <v>62000</v>
      </c>
      <c r="S7" s="14" t="str">
        <f>VLOOKUP(O7,HLOOKUP!A6:C11,3,0)</f>
        <v>Kolkata</v>
      </c>
      <c r="T7" s="34">
        <f>VLOOKUP(O7,HLOOKUP!A6:C11,2,0)</f>
        <v>43414</v>
      </c>
    </row>
    <row r="8" spans="1:22">
      <c r="D8" s="15" t="s">
        <v>67</v>
      </c>
      <c r="E8" s="18">
        <v>85</v>
      </c>
      <c r="G8" s="14">
        <v>6</v>
      </c>
      <c r="H8" s="14" t="s">
        <v>77</v>
      </c>
      <c r="I8" s="14" t="s">
        <v>84</v>
      </c>
      <c r="J8" s="14">
        <v>42000</v>
      </c>
    </row>
    <row r="9" spans="1:22">
      <c r="D9" s="15" t="s">
        <v>68</v>
      </c>
      <c r="E9" s="18" t="str">
        <f>VLOOKUP(E8,A3:B7,2,TRUE)</f>
        <v>B+</v>
      </c>
      <c r="G9" s="14">
        <v>7</v>
      </c>
      <c r="H9" s="14" t="s">
        <v>78</v>
      </c>
      <c r="I9" s="14" t="s">
        <v>85</v>
      </c>
      <c r="J9" s="14">
        <v>60000</v>
      </c>
    </row>
    <row r="10" spans="1:22">
      <c r="O10" s="21">
        <v>102</v>
      </c>
      <c r="P10" s="21" t="s">
        <v>87</v>
      </c>
      <c r="Q10" s="21" t="s">
        <v>45</v>
      </c>
      <c r="R10" s="21">
        <v>55000</v>
      </c>
      <c r="S10" s="14" t="str">
        <f>VLOOKUP(O10,HLOOKUP!$A$2:$C$7,3,0)</f>
        <v>Delhi</v>
      </c>
      <c r="T10" s="34"/>
    </row>
    <row r="11" spans="1:22">
      <c r="B11" s="8" t="s">
        <v>201</v>
      </c>
      <c r="O11" s="21">
        <v>104</v>
      </c>
      <c r="P11" s="21" t="s">
        <v>89</v>
      </c>
      <c r="Q11" s="21" t="s">
        <v>43</v>
      </c>
      <c r="R11" s="21">
        <v>65000</v>
      </c>
      <c r="S11" s="14" t="str">
        <f>VLOOKUP(O11,HLOOKUP!$A$2:$C$7,3,0)</f>
        <v>Chennai</v>
      </c>
      <c r="T11" s="34"/>
    </row>
    <row r="12" spans="1:22">
      <c r="O12" s="21">
        <v>101</v>
      </c>
      <c r="P12" s="21" t="s">
        <v>44</v>
      </c>
      <c r="Q12" s="21" t="s">
        <v>43</v>
      </c>
      <c r="R12" s="21">
        <v>60000</v>
      </c>
      <c r="S12" s="14" t="str">
        <f>VLOOKUP(O12,HLOOKUP!$A$2:$C$7,3,0)</f>
        <v>Mumbai</v>
      </c>
      <c r="T12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D99E-EA6B-4D40-A501-2E678DE3CF21}">
  <sheetPr>
    <tabColor rgb="FFFFC000"/>
  </sheetPr>
  <dimension ref="A1:AA17"/>
  <sheetViews>
    <sheetView zoomScale="120" zoomScaleNormal="120" workbookViewId="0">
      <selection activeCell="T5" sqref="T5"/>
    </sheetView>
  </sheetViews>
  <sheetFormatPr defaultRowHeight="15"/>
  <cols>
    <col min="1" max="1" width="12.42578125" bestFit="1" customWidth="1"/>
    <col min="2" max="2" width="12" bestFit="1" customWidth="1"/>
    <col min="3" max="3" width="10" bestFit="1" customWidth="1"/>
    <col min="7" max="7" width="2.140625" bestFit="1" customWidth="1"/>
    <col min="8" max="8" width="10.42578125" bestFit="1" customWidth="1"/>
    <col min="16" max="16" width="9.85546875" customWidth="1"/>
  </cols>
  <sheetData>
    <row r="1" spans="1:27" ht="21">
      <c r="E1" s="17" t="s">
        <v>98</v>
      </c>
      <c r="P1" s="17" t="s">
        <v>110</v>
      </c>
      <c r="V1" s="17" t="s">
        <v>117</v>
      </c>
    </row>
    <row r="2" spans="1:27" ht="17.25">
      <c r="A2" s="24" t="s">
        <v>86</v>
      </c>
      <c r="B2" s="24" t="s">
        <v>91</v>
      </c>
      <c r="C2" s="24" t="s">
        <v>92</v>
      </c>
      <c r="E2" s="24" t="s">
        <v>73</v>
      </c>
      <c r="F2" s="24" t="s">
        <v>99</v>
      </c>
      <c r="V2" s="16" t="s">
        <v>118</v>
      </c>
    </row>
    <row r="3" spans="1:27">
      <c r="A3" s="20">
        <v>101</v>
      </c>
      <c r="B3" s="23">
        <v>43842</v>
      </c>
      <c r="C3" s="20" t="s">
        <v>93</v>
      </c>
      <c r="E3" s="14">
        <v>111</v>
      </c>
      <c r="F3" s="14" t="str">
        <f>HLOOKUP(E3,$I$5:$N$7,3,0)</f>
        <v>Laptop</v>
      </c>
      <c r="R3" s="24" t="s">
        <v>99</v>
      </c>
      <c r="V3" s="14">
        <v>2</v>
      </c>
      <c r="W3" s="14">
        <v>2</v>
      </c>
      <c r="X3" s="14" cm="1">
        <f t="array" ref="X3">INDEX(Y6:AA10,V3,W3)</f>
        <v>2000</v>
      </c>
      <c r="Z3" t="s">
        <v>165</v>
      </c>
    </row>
    <row r="4" spans="1:27">
      <c r="A4" s="20">
        <v>102</v>
      </c>
      <c r="B4" s="23">
        <v>43529</v>
      </c>
      <c r="C4" s="20" t="s">
        <v>94</v>
      </c>
      <c r="E4" s="14">
        <v>222</v>
      </c>
      <c r="F4" s="14" t="str">
        <f t="shared" ref="F4:F9" si="0">HLOOKUP(E4,$I$5:$N$7,3,0)</f>
        <v>Keyboard</v>
      </c>
      <c r="P4" s="14" t="s">
        <v>164</v>
      </c>
      <c r="R4" s="14" t="s">
        <v>142</v>
      </c>
    </row>
    <row r="5" spans="1:27">
      <c r="A5" s="20">
        <v>103</v>
      </c>
      <c r="B5" s="23">
        <v>44395</v>
      </c>
      <c r="C5" s="20" t="s">
        <v>95</v>
      </c>
      <c r="E5" s="14">
        <v>333</v>
      </c>
      <c r="F5" s="14" t="str">
        <f t="shared" si="0"/>
        <v>Mouse</v>
      </c>
      <c r="I5" s="24" t="s">
        <v>73</v>
      </c>
      <c r="J5" s="14">
        <v>111</v>
      </c>
      <c r="K5" s="14">
        <v>222</v>
      </c>
      <c r="L5" s="14">
        <v>333</v>
      </c>
      <c r="M5" s="14">
        <v>777</v>
      </c>
      <c r="N5" s="14">
        <v>888</v>
      </c>
      <c r="P5" s="14">
        <f>MATCH(P4,R3:R7,0)</f>
        <v>4</v>
      </c>
      <c r="R5" s="14" t="s">
        <v>112</v>
      </c>
    </row>
    <row r="6" spans="1:27">
      <c r="A6" s="20">
        <v>104</v>
      </c>
      <c r="B6" s="23">
        <v>44096</v>
      </c>
      <c r="C6" s="20" t="s">
        <v>96</v>
      </c>
      <c r="E6" s="14">
        <v>111</v>
      </c>
      <c r="F6" s="14" t="str">
        <f t="shared" si="0"/>
        <v>Laptop</v>
      </c>
      <c r="I6" s="24" t="s">
        <v>105</v>
      </c>
      <c r="J6" s="14" t="s">
        <v>106</v>
      </c>
      <c r="K6" s="14" t="s">
        <v>107</v>
      </c>
      <c r="L6" s="14" t="s">
        <v>108</v>
      </c>
      <c r="M6" s="14" t="s">
        <v>106</v>
      </c>
      <c r="N6" s="14" t="s">
        <v>109</v>
      </c>
      <c r="P6" s="14"/>
      <c r="R6" s="14" t="s">
        <v>113</v>
      </c>
      <c r="Y6" s="14">
        <v>450</v>
      </c>
      <c r="Z6" s="14">
        <v>1000</v>
      </c>
      <c r="AA6" s="14">
        <v>5</v>
      </c>
    </row>
    <row r="7" spans="1:27">
      <c r="A7" s="20">
        <v>105</v>
      </c>
      <c r="B7" s="23">
        <v>43414</v>
      </c>
      <c r="C7" s="20" t="s">
        <v>97</v>
      </c>
      <c r="E7" s="14">
        <v>222</v>
      </c>
      <c r="F7" s="14" t="str">
        <f t="shared" si="0"/>
        <v>Keyboard</v>
      </c>
      <c r="I7" s="24" t="s">
        <v>99</v>
      </c>
      <c r="J7" s="14" t="s">
        <v>100</v>
      </c>
      <c r="K7" s="14" t="s">
        <v>101</v>
      </c>
      <c r="L7" s="14" t="s">
        <v>102</v>
      </c>
      <c r="M7" s="14" t="s">
        <v>104</v>
      </c>
      <c r="N7" s="14" t="s">
        <v>103</v>
      </c>
      <c r="P7" s="14"/>
      <c r="R7" s="14" t="s">
        <v>114</v>
      </c>
      <c r="U7" t="s">
        <v>140</v>
      </c>
      <c r="Y7" s="14">
        <v>100</v>
      </c>
      <c r="Z7" s="14">
        <v>2000</v>
      </c>
      <c r="AA7" s="14">
        <v>2</v>
      </c>
    </row>
    <row r="8" spans="1:27">
      <c r="E8" s="14">
        <v>888</v>
      </c>
      <c r="F8" s="14" t="str">
        <f t="shared" si="0"/>
        <v>Printer</v>
      </c>
      <c r="Y8" s="14">
        <v>500</v>
      </c>
      <c r="Z8" s="14">
        <v>3000</v>
      </c>
      <c r="AA8" s="14">
        <v>6</v>
      </c>
    </row>
    <row r="9" spans="1:27">
      <c r="E9" s="14">
        <v>777</v>
      </c>
      <c r="F9" s="14" t="str">
        <f t="shared" si="0"/>
        <v>DVD</v>
      </c>
      <c r="P9" t="s">
        <v>116</v>
      </c>
      <c r="Y9" s="14">
        <v>800</v>
      </c>
      <c r="Z9" s="14">
        <v>4000</v>
      </c>
      <c r="AA9" s="14">
        <v>8</v>
      </c>
    </row>
    <row r="10" spans="1:27">
      <c r="Y10" s="14">
        <v>900</v>
      </c>
      <c r="Z10" s="14">
        <v>5000</v>
      </c>
      <c r="AA10" s="14">
        <v>9</v>
      </c>
    </row>
    <row r="11" spans="1:27" ht="17.25">
      <c r="E11" t="s">
        <v>115</v>
      </c>
      <c r="V11" s="16" t="s">
        <v>119</v>
      </c>
    </row>
    <row r="12" spans="1:27">
      <c r="V12" s="14">
        <v>4</v>
      </c>
      <c r="W12" s="14" cm="1">
        <f t="array" ref="W12">INDEX(Y12:Y15,V12)</f>
        <v>80</v>
      </c>
      <c r="Y12" s="14">
        <v>50</v>
      </c>
    </row>
    <row r="13" spans="1:27" ht="17.25">
      <c r="P13" s="29" t="s">
        <v>111</v>
      </c>
      <c r="V13" s="14">
        <v>3</v>
      </c>
      <c r="W13" s="14"/>
      <c r="Y13" s="14">
        <v>60</v>
      </c>
    </row>
    <row r="14" spans="1:27">
      <c r="Y14" s="14">
        <v>70</v>
      </c>
    </row>
    <row r="15" spans="1:27">
      <c r="Y15" s="14">
        <v>80</v>
      </c>
    </row>
    <row r="17" spans="23:23" ht="15.75">
      <c r="W17" s="28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E2C1E-4C7E-4924-80DA-F7CD6AE417A4}">
  <sheetPr>
    <tabColor theme="8" tint="0.39997558519241921"/>
  </sheetPr>
  <dimension ref="A1:P16"/>
  <sheetViews>
    <sheetView zoomScale="140" zoomScaleNormal="140" workbookViewId="0">
      <selection activeCell="M3" sqref="M3"/>
    </sheetView>
  </sheetViews>
  <sheetFormatPr defaultRowHeight="15"/>
  <cols>
    <col min="1" max="1" width="12.42578125" customWidth="1"/>
    <col min="2" max="2" width="15.85546875" bestFit="1" customWidth="1"/>
    <col min="3" max="3" width="11.85546875" bestFit="1" customWidth="1"/>
    <col min="5" max="6" width="12.42578125" customWidth="1"/>
    <col min="13" max="13" width="9.7109375" customWidth="1"/>
    <col min="14" max="14" width="6.5703125" bestFit="1" customWidth="1"/>
    <col min="15" max="15" width="9.28515625" bestFit="1" customWidth="1"/>
    <col min="16" max="16" width="9.7109375" bestFit="1" customWidth="1"/>
  </cols>
  <sheetData>
    <row r="1" spans="1:16" ht="17.25" customHeight="1">
      <c r="A1" s="17" t="s">
        <v>131</v>
      </c>
      <c r="L1" s="17" t="s">
        <v>138</v>
      </c>
      <c r="M1" s="27"/>
    </row>
    <row r="2" spans="1:16">
      <c r="A2" s="22" t="s">
        <v>86</v>
      </c>
      <c r="B2" s="22" t="s">
        <v>120</v>
      </c>
      <c r="C2" s="22" t="s">
        <v>42</v>
      </c>
      <c r="E2" s="22" t="s">
        <v>42</v>
      </c>
      <c r="F2" s="22" t="s">
        <v>126</v>
      </c>
      <c r="M2" s="22" t="s">
        <v>205</v>
      </c>
      <c r="N2" s="22" t="s">
        <v>132</v>
      </c>
      <c r="O2" s="22" t="s">
        <v>133</v>
      </c>
      <c r="P2" s="22" t="s">
        <v>134</v>
      </c>
    </row>
    <row r="3" spans="1:16">
      <c r="A3" s="25">
        <v>101</v>
      </c>
      <c r="B3" s="25" t="s">
        <v>121</v>
      </c>
      <c r="C3" s="25" t="s">
        <v>43</v>
      </c>
      <c r="E3" s="25" t="s">
        <v>43</v>
      </c>
      <c r="F3" s="25" t="s">
        <v>127</v>
      </c>
      <c r="M3" s="26">
        <v>100</v>
      </c>
      <c r="N3" s="26">
        <v>101</v>
      </c>
      <c r="O3" s="26" t="s">
        <v>121</v>
      </c>
      <c r="P3" s="26">
        <v>50000</v>
      </c>
    </row>
    <row r="4" spans="1:16">
      <c r="A4" s="25">
        <v>102</v>
      </c>
      <c r="B4" s="25" t="s">
        <v>122</v>
      </c>
      <c r="C4" s="25" t="s">
        <v>45</v>
      </c>
      <c r="E4" s="25" t="s">
        <v>45</v>
      </c>
      <c r="F4" s="25" t="s">
        <v>128</v>
      </c>
      <c r="M4" s="26">
        <v>500</v>
      </c>
      <c r="N4" s="26">
        <v>102</v>
      </c>
      <c r="O4" s="26" t="s">
        <v>135</v>
      </c>
      <c r="P4" s="26">
        <v>60000</v>
      </c>
    </row>
    <row r="5" spans="1:16">
      <c r="A5" s="25">
        <v>103</v>
      </c>
      <c r="B5" s="25" t="s">
        <v>123</v>
      </c>
      <c r="C5" s="25" t="s">
        <v>46</v>
      </c>
      <c r="E5" s="25" t="s">
        <v>46</v>
      </c>
      <c r="F5" s="25" t="s">
        <v>129</v>
      </c>
      <c r="M5" s="26">
        <v>600</v>
      </c>
      <c r="N5" s="26">
        <v>103</v>
      </c>
      <c r="O5" s="26" t="s">
        <v>136</v>
      </c>
      <c r="P5" s="26">
        <v>70000</v>
      </c>
    </row>
    <row r="6" spans="1:16">
      <c r="A6" s="25">
        <v>104</v>
      </c>
      <c r="B6" s="25" t="s">
        <v>124</v>
      </c>
      <c r="C6" s="25" t="s">
        <v>43</v>
      </c>
      <c r="E6" s="25"/>
      <c r="F6" s="25"/>
    </row>
    <row r="7" spans="1:16">
      <c r="A7" s="25">
        <v>105</v>
      </c>
      <c r="B7" s="25" t="s">
        <v>125</v>
      </c>
      <c r="C7" s="25" t="s">
        <v>45</v>
      </c>
      <c r="E7" s="25"/>
      <c r="F7" s="25"/>
    </row>
    <row r="8" spans="1:16">
      <c r="M8" s="22" t="s">
        <v>73</v>
      </c>
      <c r="N8" s="26">
        <v>102</v>
      </c>
      <c r="O8" s="26">
        <v>101</v>
      </c>
      <c r="P8" s="26">
        <v>103</v>
      </c>
    </row>
    <row r="9" spans="1:16">
      <c r="M9" s="22" t="s">
        <v>137</v>
      </c>
      <c r="N9" s="14">
        <f>INDEX(M3:M5,MATCH($N$8,$N$3:$N$5,0))</f>
        <v>500</v>
      </c>
      <c r="O9" s="14">
        <f t="shared" ref="O9:P9" si="0">INDEX(N3:N5,MATCH($N$8,$N$3:$N$5,0))</f>
        <v>102</v>
      </c>
      <c r="P9" s="14" t="str">
        <f t="shared" si="0"/>
        <v>Mike</v>
      </c>
    </row>
    <row r="10" spans="1:16">
      <c r="A10" s="25">
        <v>101</v>
      </c>
      <c r="B10" s="14" t="str">
        <f>VLOOKUP(VLOOKUP(A10,A2:C8,3,0),$E$2:$F$7,2,0)</f>
        <v>Mr. Sharma</v>
      </c>
    </row>
    <row r="11" spans="1:16">
      <c r="A11" s="25">
        <v>102</v>
      </c>
      <c r="B11" s="14" t="str">
        <f t="shared" ref="B11:B14" si="1">VLOOKUP(VLOOKUP(A11,A3:C9,3,0),$E$2:$F$7,2,0)</f>
        <v>Ms. Kapoor</v>
      </c>
    </row>
    <row r="12" spans="1:16">
      <c r="A12" s="25">
        <v>103</v>
      </c>
      <c r="B12" s="14" t="str">
        <f t="shared" si="1"/>
        <v>Mr. Verma</v>
      </c>
      <c r="D12" t="s">
        <v>130</v>
      </c>
      <c r="M12" t="s">
        <v>139</v>
      </c>
    </row>
    <row r="13" spans="1:16">
      <c r="A13" s="25">
        <v>104</v>
      </c>
      <c r="B13" s="14" t="str">
        <f t="shared" si="1"/>
        <v>Mr. Sharma</v>
      </c>
    </row>
    <row r="14" spans="1:16">
      <c r="A14" s="25">
        <v>105</v>
      </c>
      <c r="B14" s="14" t="str">
        <f t="shared" si="1"/>
        <v>Ms. Kapoor</v>
      </c>
    </row>
    <row r="16" spans="1:16">
      <c r="I1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terms used in Excel</vt:lpstr>
      <vt:lpstr>Basic of Excel</vt:lpstr>
      <vt:lpstr>Sheet10</vt:lpstr>
      <vt:lpstr>Absolute and Relative cell</vt:lpstr>
      <vt:lpstr>BASIC FORMULA</vt:lpstr>
      <vt:lpstr>VLookup funtion</vt:lpstr>
      <vt:lpstr>HLOOKUP</vt:lpstr>
      <vt:lpstr>Nested 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Kamat</dc:creator>
  <cp:lastModifiedBy>amit.kamat005</cp:lastModifiedBy>
  <dcterms:created xsi:type="dcterms:W3CDTF">2025-02-12T01:05:27Z</dcterms:created>
  <dcterms:modified xsi:type="dcterms:W3CDTF">2026-05-20T00:56:35Z</dcterms:modified>
</cp:coreProperties>
</file>