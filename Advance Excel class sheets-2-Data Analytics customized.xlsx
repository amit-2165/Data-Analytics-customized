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CTE\11-Data Analytics Customized-Banupriya\"/>
    </mc:Choice>
  </mc:AlternateContent>
  <xr:revisionPtr revIDLastSave="0" documentId="13_ncr:1_{82E48B70-EF9D-4FB8-B0AE-13D0770BE1AA}" xr6:coauthVersionLast="47" xr6:coauthVersionMax="47" xr10:uidLastSave="{00000000-0000-0000-0000-000000000000}"/>
  <bookViews>
    <workbookView xWindow="-120" yWindow="-120" windowWidth="20730" windowHeight="11160" tabRatio="790" firstSheet="4" activeTab="8" xr2:uid="{A580DC4F-01CA-4DBB-B620-9375CCC9550A}"/>
  </bookViews>
  <sheets>
    <sheet name="Create Pivot Tables" sheetId="3" r:id="rId1"/>
    <sheet name="Pivot chats" sheetId="5" r:id="rId2"/>
    <sheet name="Slicer" sheetId="8" r:id="rId3"/>
    <sheet name="Conditional Formatting" sheetId="20" r:id="rId4"/>
    <sheet name="Data Validation" sheetId="21" r:id="rId5"/>
    <sheet name="Date &amp; Time" sheetId="22" r:id="rId6"/>
    <sheet name="Text Function" sheetId="24" r:id="rId7"/>
    <sheet name="shortcuts" sheetId="25" r:id="rId8"/>
    <sheet name="SWITCH-XLOOKUP" sheetId="26" r:id="rId9"/>
    <sheet name="Basic Macros (introduction)" sheetId="27" r:id="rId10"/>
  </sheets>
  <definedNames>
    <definedName name="_xlnm._FilterDatabase" localSheetId="0" hidden="1">'Create Pivot Tables'!$A$1:$E$40</definedName>
    <definedName name="Slicer_Employee_Name">#N/A</definedName>
    <definedName name="Slicer_Item">#N/A</definedName>
    <definedName name="Slicer_Quantity">#N/A</definedName>
    <definedName name="Slicer_Rate__Rs.">#N/A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6" l="1" a="1"/>
  <c r="B19" i="26" s="1"/>
  <c r="B20" i="26" a="1"/>
  <c r="B20" i="26" s="1"/>
  <c r="B21" i="26" a="1"/>
  <c r="B21" i="26"/>
  <c r="B22" i="26" a="1"/>
  <c r="B22" i="26" s="1"/>
  <c r="B23" i="26" a="1"/>
  <c r="B23" i="26"/>
  <c r="B24" i="26" a="1"/>
  <c r="B24" i="26" s="1"/>
  <c r="B25" i="26" a="1"/>
  <c r="B25" i="26"/>
  <c r="B26" i="26" a="1"/>
  <c r="B26" i="26" s="1"/>
  <c r="B27" i="26" a="1"/>
  <c r="B27" i="26"/>
  <c r="C6" i="26" a="1"/>
  <c r="C6" i="26" s="1"/>
  <c r="C7" i="26" a="1"/>
  <c r="C7" i="26"/>
  <c r="C8" i="26" a="1"/>
  <c r="C8" i="26"/>
  <c r="C9" i="26" a="1"/>
  <c r="C9" i="26"/>
  <c r="C10" i="26" a="1"/>
  <c r="C10" i="26"/>
  <c r="C11" i="26" a="1"/>
  <c r="C11" i="26"/>
  <c r="C12" i="26" a="1"/>
  <c r="C12" i="26"/>
  <c r="C13" i="26" a="1"/>
  <c r="C13" i="26" s="1"/>
  <c r="U3" i="26" a="1"/>
  <c r="U3" i="26" s="1"/>
  <c r="S3" i="26" a="1"/>
  <c r="S3" i="26" s="1"/>
  <c r="Q4" i="24"/>
  <c r="Q5" i="24"/>
  <c r="Q3" i="24"/>
  <c r="P4" i="24"/>
  <c r="P5" i="24"/>
  <c r="P3" i="24"/>
  <c r="O4" i="24"/>
  <c r="O5" i="24"/>
  <c r="O3" i="24"/>
  <c r="G19" i="24"/>
  <c r="J18" i="24"/>
  <c r="G18" i="24"/>
  <c r="J17" i="24"/>
  <c r="G17" i="24"/>
  <c r="J12" i="24"/>
  <c r="G12" i="24"/>
  <c r="J11" i="24"/>
  <c r="G11" i="24"/>
  <c r="J10" i="24"/>
  <c r="G10" i="24"/>
  <c r="J5" i="24"/>
  <c r="G5" i="24"/>
  <c r="C5" i="24"/>
  <c r="J4" i="24"/>
  <c r="G4" i="24"/>
  <c r="C4" i="24"/>
  <c r="J3" i="24"/>
  <c r="G3" i="24"/>
  <c r="C3" i="24"/>
  <c r="B15" i="22"/>
  <c r="K13" i="22"/>
  <c r="C13" i="22"/>
  <c r="K10" i="22"/>
  <c r="J9" i="22"/>
  <c r="K9" i="22" s="1"/>
  <c r="B9" i="22"/>
  <c r="J8" i="22"/>
  <c r="K8" i="22" s="1"/>
  <c r="B8" i="22"/>
  <c r="J7" i="22"/>
  <c r="K7" i="22" s="1"/>
  <c r="B7" i="22"/>
  <c r="J6" i="22"/>
  <c r="J5"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CF50C-4051-46C5-9763-34DA3A04ECC2}" keepAlive="1" name="Query - CardioGoodFitness-1" description="Connection to the 'CardioGoodFitness-1' query in the workbook." type="5" refreshedVersion="8" background="1" saveData="1">
    <dbPr connection="Provider=Microsoft.Mashup.OleDb.1;Data Source=$Workbook$;Location=CardioGoodFitness-1;Extended Properties=&quot;&quot;" command="SELECT * FROM [CardioGoodFitness-1]"/>
  </connection>
  <connection id="2" xr16:uid="{5531DDA9-8F53-487E-A0ED-CE019B668870}" keepAlive="1" name="Query - CardioGoodFitness-1 (2)" description="Connection to the 'CardioGoodFitness-1 (2)' query in the workbook." type="5" refreshedVersion="0" background="1">
    <dbPr connection="Provider=Microsoft.Mashup.OleDb.1;Data Source=$Workbook$;Location=&quot;CardioGoodFitness-1 (2)&quot;;Extended Properties=&quot;&quot;" command="SELECT * FROM [CardioGoodFitness-1 (2)]"/>
  </connection>
  <connection id="3" xr16:uid="{077232CA-810B-4793-B154-AC417FA0D933}" keepAlive="1" name="Query - contractemployees" description="Connection to the 'contractemployees' query in the workbook." type="5" refreshedVersion="8" background="1" saveData="1">
    <dbPr connection="Provider=Microsoft.Mashup.OleDb.1;Data Source=$Workbook$;Location=contractemployees;Extended Properties=&quot;&quot;" command="SELECT * FROM [contractemployees]"/>
  </connection>
  <connection id="4" xr16:uid="{7B956894-936A-4FED-BD78-416161B2C1FA}" keepAlive="1" name="Query - Employees" description="Connection to the 'Employees' query in the workbook." type="5" refreshedVersion="0" background="1">
    <dbPr connection="Provider=Microsoft.Mashup.OleDb.1;Data Source=$Workbook$;Location=Employees;Extended Properties=&quot;&quot;" command="SELECT * FROM [Employees]"/>
  </connection>
  <connection id="5" xr16:uid="{8DA14294-9251-4DCE-9A69-79A102BF2E97}"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 id="6" xr16:uid="{F2C71938-99BA-49D2-AD13-2508D136E029}" keepAlive="1" name="Query - Page001 (2)" description="Connection to the 'Page001 (2)' query in the workbook." type="5" refreshedVersion="0" background="1">
    <dbPr connection="Provider=Microsoft.Mashup.OleDb.1;Data Source=$Workbook$;Location=&quot;Page001 (2)&quot;;Extended Properties=&quot;&quot;" command="SELECT * FROM [Page001 (2)]"/>
  </connection>
  <connection id="7" xr16:uid="{88AC9910-F5C0-4B60-8DD6-3E406D56877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8" xr16:uid="{2C67CBA3-1A73-4168-954A-AEB56DD89639}"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9" xr16:uid="{B914B535-BB8B-45AB-9CEB-DD75E7E093D5}" keepAlive="1" name="Query - sales" description="Connection to the 'sales' query in the workbook." type="5" refreshedVersion="0" background="1">
    <dbPr connection="Provider=Microsoft.Mashup.OleDb.1;Data Source=$Workbook$;Location=sales;Extended Properties=&quot;&quot;" command="SELECT * FROM [sales]"/>
  </connection>
  <connection id="10" xr16:uid="{522BBF06-8AE7-4978-A8BA-4B05FBB0D511}"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 id="11" xr16:uid="{307BDFDD-91BA-4116-8083-47C3A5E68006}" keepAlive="1" name="Query - sales (3)" description="Connection to the 'sales (3)' query in the workbook." type="5" refreshedVersion="0" background="1">
    <dbPr connection="Provider=Microsoft.Mashup.OleDb.1;Data Source=$Workbook$;Location=&quot;sales (3)&quot;;Extended Properties=&quot;&quot;" command="SELECT * FROM [sales (3)]"/>
  </connection>
  <connection id="12" xr16:uid="{555C9A95-F722-4EEE-9FE2-3FFB48EE0CF8}" keepAlive="1" name="Query - sales data1 xlsx" description="Connection to the 'sales data1 xlsx' query in the workbook." type="5" refreshedVersion="8" background="1" saveData="1">
    <dbPr connection="Provider=Microsoft.Mashup.OleDb.1;Data Source=$Workbook$;Location=&quot;sales data1 xlsx&quot;;Extended Properties=&quot;&quot;" command="SELECT * FROM [sales data1 xlsx]"/>
  </connection>
  <connection id="13" xr16:uid="{963B5E51-D142-48FA-B285-26010DE435F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4" xr16:uid="{E0905670-0498-4B83-A1E7-0F516D8F2419}"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5" xr16:uid="{77671DDC-23FA-4718-A696-5E320B65A41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6" xr16:uid="{392A4E18-70E9-4F39-B261-F512F1FCCF1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7" xr16:uid="{186F6BBE-51B2-49AB-9F4F-9480006186D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8" xr16:uid="{0EC80812-C2D2-4ED7-90A6-C04DE7D70DD6}"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<sst xmlns="http://schemas.openxmlformats.org/spreadsheetml/2006/main" count="527" uniqueCount="356">
  <si>
    <t>Name</t>
  </si>
  <si>
    <t>Amount (Rs.)</t>
  </si>
  <si>
    <t>Mumbai</t>
  </si>
  <si>
    <t>Delhi</t>
  </si>
  <si>
    <t>Bangalore</t>
  </si>
  <si>
    <t>Hyderabad</t>
  </si>
  <si>
    <t>Pune</t>
  </si>
  <si>
    <t>Grand Total</t>
  </si>
  <si>
    <t>Employee Name</t>
  </si>
  <si>
    <t>Item</t>
  </si>
  <si>
    <t>Quantity</t>
  </si>
  <si>
    <t>Rate (Rs.)</t>
  </si>
  <si>
    <t>Amit Sharma</t>
  </si>
  <si>
    <t>Keyboard</t>
  </si>
  <si>
    <t>Raj Verma</t>
  </si>
  <si>
    <t>Mouse</t>
  </si>
  <si>
    <t>Neha Gupta</t>
  </si>
  <si>
    <t>Laptop Stand</t>
  </si>
  <si>
    <t>Vikram Singh</t>
  </si>
  <si>
    <t>Headphones</t>
  </si>
  <si>
    <t>Pooja Mehta</t>
  </si>
  <si>
    <t>USB Hub</t>
  </si>
  <si>
    <t>Sanjay Kumar</t>
  </si>
  <si>
    <t>Monitor</t>
  </si>
  <si>
    <t>Riya Patel</t>
  </si>
  <si>
    <t>External Hard Drive</t>
  </si>
  <si>
    <t>Mohit Joshi</t>
  </si>
  <si>
    <t>Mouse Pad</t>
  </si>
  <si>
    <t>Sunil Yadav</t>
  </si>
  <si>
    <t>Webcam</t>
  </si>
  <si>
    <t>Kiran Desai</t>
  </si>
  <si>
    <t>Laptop Charger</t>
  </si>
  <si>
    <t>Alok Tiwari</t>
  </si>
  <si>
    <t>USB Cable</t>
  </si>
  <si>
    <t>Sneha Reddy</t>
  </si>
  <si>
    <t>Wireless Mouse</t>
  </si>
  <si>
    <t>Deepak Rawat</t>
  </si>
  <si>
    <t>Cooling Pad</t>
  </si>
  <si>
    <t>Priya Malhotra</t>
  </si>
  <si>
    <t>Gaming Keyboard</t>
  </si>
  <si>
    <t>Ankit Sinha</t>
  </si>
  <si>
    <t>RAM (8GB)</t>
  </si>
  <si>
    <t>Rohit Bansal</t>
  </si>
  <si>
    <t>Pen Drive (64GB)</t>
  </si>
  <si>
    <t>Suman Rai</t>
  </si>
  <si>
    <t>Power Bank</t>
  </si>
  <si>
    <t>Gaurav Khanna</t>
  </si>
  <si>
    <t>Laptop Bag</t>
  </si>
  <si>
    <t>Snehal Kapoor</t>
  </si>
  <si>
    <t>SSD (512GB)</t>
  </si>
  <si>
    <t>Tarun Mehta</t>
  </si>
  <si>
    <t>Printer</t>
  </si>
  <si>
    <t>Kavita Chawla</t>
  </si>
  <si>
    <t>Speaker</t>
  </si>
  <si>
    <t>Nitin Saxena</t>
  </si>
  <si>
    <t>Wireless Keyboard</t>
  </si>
  <si>
    <t>Meena Dubey</t>
  </si>
  <si>
    <t>USB Flash Drive</t>
  </si>
  <si>
    <t>Arjun Pillai</t>
  </si>
  <si>
    <t>HDMI Cable</t>
  </si>
  <si>
    <t>Bhavesh Thakur</t>
  </si>
  <si>
    <t>Laptop Skin</t>
  </si>
  <si>
    <t>Preeti Kaur</t>
  </si>
  <si>
    <t>Docking Station</t>
  </si>
  <si>
    <t>Suresh Menon</t>
  </si>
  <si>
    <t>Graphics Card (4GB)</t>
  </si>
  <si>
    <t>Jyoti Sharma</t>
  </si>
  <si>
    <t>Smartwatch</t>
  </si>
  <si>
    <t>Karthik Reddy</t>
  </si>
  <si>
    <t>Bluetooth Adapter</t>
  </si>
  <si>
    <t>Varsha Jain</t>
  </si>
  <si>
    <t>Cooling Fan</t>
  </si>
  <si>
    <t>Ravi Shankar</t>
  </si>
  <si>
    <t>Gaming Mouse</t>
  </si>
  <si>
    <t>Swati Agarwal</t>
  </si>
  <si>
    <t>USB Type-C Cable</t>
  </si>
  <si>
    <t>Aditya Kapoor</t>
  </si>
  <si>
    <t>Docking Hub</t>
  </si>
  <si>
    <t>Manish Pandey</t>
  </si>
  <si>
    <t>Mechanical Keyboard</t>
  </si>
  <si>
    <t>Sheetal Rao</t>
  </si>
  <si>
    <t>Wireless Earbuds</t>
  </si>
  <si>
    <t>Yashwant Sinha</t>
  </si>
  <si>
    <t>External SSD (1TB)</t>
  </si>
  <si>
    <t>Divya Kulkarni</t>
  </si>
  <si>
    <t>Ethernet Cable</t>
  </si>
  <si>
    <t>Harsh Chauhan</t>
  </si>
  <si>
    <t>VR Headset</t>
  </si>
  <si>
    <t>Pankaj Narang</t>
  </si>
  <si>
    <t>Cooling Gel Pad</t>
  </si>
  <si>
    <t>(All)</t>
  </si>
  <si>
    <t>Row Labels</t>
  </si>
  <si>
    <t>Sum of Quantity</t>
  </si>
  <si>
    <t>Sum of Amount (Rs.)</t>
  </si>
  <si>
    <t>(blank)</t>
  </si>
  <si>
    <t>City</t>
  </si>
  <si>
    <t>Income</t>
  </si>
  <si>
    <t>select data and go to insert click pivot table</t>
  </si>
  <si>
    <t>Select the data use pivot table , select pivot table data , go to insert , select the chart</t>
  </si>
  <si>
    <t>select the data , go to insert, go to Filters and select slicer</t>
  </si>
  <si>
    <t>Auto format</t>
  </si>
  <si>
    <t>Conditional Formatting</t>
  </si>
  <si>
    <t>JOB</t>
  </si>
  <si>
    <t>Percentage %</t>
  </si>
  <si>
    <t>Amount</t>
  </si>
  <si>
    <t>Highlights all odd numbers.</t>
  </si>
  <si>
    <t>Rahul</t>
  </si>
  <si>
    <t>Engineer</t>
  </si>
  <si>
    <t>Result</t>
  </si>
  <si>
    <t>Priya</t>
  </si>
  <si>
    <t>Doctor</t>
  </si>
  <si>
    <t>1,20,000</t>
  </si>
  <si>
    <t>Column</t>
  </si>
  <si>
    <t>Cell</t>
  </si>
  <si>
    <t>Amit</t>
  </si>
  <si>
    <t>Manager</t>
  </si>
  <si>
    <t>1,50,000</t>
  </si>
  <si>
    <t>Neha</t>
  </si>
  <si>
    <t>Analyst</t>
  </si>
  <si>
    <t>Clear Rule</t>
  </si>
  <si>
    <t>Raj</t>
  </si>
  <si>
    <t>Developer</t>
  </si>
  <si>
    <t>1,10,000</t>
  </si>
  <si>
    <t>Go to conditional formatting</t>
  </si>
  <si>
    <t>Clear Rule from selected cell</t>
  </si>
  <si>
    <t>OR</t>
  </si>
  <si>
    <t>Clear Rule from Entire sheet</t>
  </si>
  <si>
    <t>ISODD(R3)</t>
  </si>
  <si>
    <t>Click on Conditional Formating</t>
  </si>
  <si>
    <t>Click on new rule</t>
  </si>
  <si>
    <t>Click on "use a formula to determine which cells to format"</t>
  </si>
  <si>
    <t>Go to Quick Access Tool bar</t>
  </si>
  <si>
    <t>put =ISOOD(R3), Note-Remove $ sign, choose format colour</t>
  </si>
  <si>
    <t>select Auto Format</t>
  </si>
  <si>
    <t>than copy cell R3 and choose all table and right click and choose "paste specil"</t>
  </si>
  <si>
    <t>add into mini tool bar</t>
  </si>
  <si>
    <t>choose format and ok</t>
  </si>
  <si>
    <t>select the table</t>
  </si>
  <si>
    <t>click on Auto Format</t>
  </si>
  <si>
    <t>choose the design to you need</t>
  </si>
  <si>
    <t>Data Validation </t>
  </si>
  <si>
    <t>Use data validation in Excel to make sure that users enter certain values into a cell.</t>
  </si>
  <si>
    <t>Age 21 to 35</t>
  </si>
  <si>
    <t>How many ball do you have in your hand</t>
  </si>
  <si>
    <t>Go to data Tab</t>
  </si>
  <si>
    <t>select the cell to put data validation</t>
  </si>
  <si>
    <t>select data tools and data validation</t>
  </si>
  <si>
    <t>Enter date</t>
  </si>
  <si>
    <t>Enter Date of Exam</t>
  </si>
  <si>
    <t>Date &amp; Time function</t>
  </si>
  <si>
    <r>
      <t>To enter a date in Excel, use the</t>
    </r>
    <r>
      <rPr>
        <b/>
        <sz val="12"/>
        <color rgb="FFFF0000"/>
        <rFont val="Segoe UI"/>
        <family val="2"/>
      </rPr>
      <t xml:space="preserve"> "/"</t>
    </r>
    <r>
      <rPr>
        <b/>
        <sz val="12"/>
        <color rgb="FF0000FF"/>
        <rFont val="Segoe UI"/>
        <family val="2"/>
      </rPr>
      <t xml:space="preserve"> or </t>
    </r>
    <r>
      <rPr>
        <b/>
        <sz val="12"/>
        <color rgb="FFFF0000"/>
        <rFont val="Segoe UI"/>
        <family val="2"/>
      </rPr>
      <t>"-"</t>
    </r>
    <r>
      <rPr>
        <b/>
        <sz val="12"/>
        <color rgb="FF0000FF"/>
        <rFont val="Segoe UI"/>
        <family val="2"/>
      </rPr>
      <t xml:space="preserve"> characters. To enter a time, use the ":" (colon). You can also enter a date and a time in one cell.</t>
    </r>
  </si>
  <si>
    <t>20/2/2025</t>
  </si>
  <si>
    <t>Dates are in US Format. Months 1st,  then Days.</t>
  </si>
  <si>
    <t>Current date and time</t>
  </si>
  <si>
    <t>Date and time format</t>
  </si>
  <si>
    <t>NOW()</t>
  </si>
  <si>
    <t>TODAY()</t>
  </si>
  <si>
    <t>YEAR(A7)</t>
  </si>
  <si>
    <t>HOUR(A20)</t>
  </si>
  <si>
    <t>MONTH(A8)</t>
  </si>
  <si>
    <t>MINUTE(A21)</t>
  </si>
  <si>
    <t>DAY(A9)</t>
  </si>
  <si>
    <t>SECOND(A22)</t>
  </si>
  <si>
    <t>Date function</t>
  </si>
  <si>
    <t>Time function</t>
  </si>
  <si>
    <t>Data function</t>
  </si>
  <si>
    <t>A11+B11</t>
  </si>
  <si>
    <t>TIME(HOUR(J13)+2,MINUTE(J13)+3,SECOND(J13)+4)</t>
  </si>
  <si>
    <t>DATE(YEAR(A13)+4,MONTH(A13)+4,DAY(A13)+5)</t>
  </si>
  <si>
    <t>Text Functions</t>
  </si>
  <si>
    <t>To extract the left most characters from a string</t>
  </si>
  <si>
    <t>Join Strings</t>
  </si>
  <si>
    <t>LEFT</t>
  </si>
  <si>
    <t>LEN</t>
  </si>
  <si>
    <t>Hello</t>
  </si>
  <si>
    <t>World</t>
  </si>
  <si>
    <t>Ram</t>
  </si>
  <si>
    <t>Kumar</t>
  </si>
  <si>
    <t>Shyam</t>
  </si>
  <si>
    <t>Singh</t>
  </si>
  <si>
    <t>To get the length of a string</t>
  </si>
  <si>
    <t>A3&amp;" "&amp;B3</t>
  </si>
  <si>
    <t>LEFT(F3,2)</t>
  </si>
  <si>
    <t>LEN(I3)</t>
  </si>
  <si>
    <t>separate text</t>
  </si>
  <si>
    <t>RIGHT</t>
  </si>
  <si>
    <t>FIND</t>
  </si>
  <si>
    <t>Hello World</t>
  </si>
  <si>
    <t>Ram Kumar</t>
  </si>
  <si>
    <t>Shyam Sing</t>
  </si>
  <si>
    <t>Sing</t>
  </si>
  <si>
    <t>To find the position of a substring in a string</t>
  </si>
  <si>
    <t>Go data tab</t>
  </si>
  <si>
    <t>RIGHT(F10,2)</t>
  </si>
  <si>
    <t>FIND("l",I10)</t>
  </si>
  <si>
    <t>select data</t>
  </si>
  <si>
    <t>Go to Text to Columns</t>
  </si>
  <si>
    <t>MID</t>
  </si>
  <si>
    <t>SUBSTITUTE</t>
  </si>
  <si>
    <t>And separate as per requirment</t>
  </si>
  <si>
    <t>Ram Kumari</t>
  </si>
  <si>
    <t>SUBSTITUTE(I17,"Kumari","Kumar")</t>
  </si>
  <si>
    <t>MID(F17,2,2)</t>
  </si>
  <si>
    <t>UPPER, LOWER, PROPER</t>
  </si>
  <si>
    <t>Changes text case</t>
  </si>
  <si>
    <r>
      <t>=UPPER("excel")</t>
    </r>
    <r>
      <rPr>
        <sz val="11"/>
        <color theme="1"/>
        <rFont val="Aptos Narrow"/>
        <family val="2"/>
        <scheme val="minor"/>
      </rPr>
      <t xml:space="preserve"> → </t>
    </r>
    <r>
      <rPr>
        <b/>
        <sz val="11"/>
        <color theme="1"/>
        <rFont val="Aptos Narrow"/>
        <family val="2"/>
        <scheme val="minor"/>
      </rPr>
      <t>EXCEL</t>
    </r>
  </si>
  <si>
    <r>
      <t>=LOWER("EXCEL")</t>
    </r>
    <r>
      <rPr>
        <sz val="11"/>
        <color theme="1"/>
        <rFont val="Aptos Narrow"/>
        <family val="2"/>
        <scheme val="minor"/>
      </rPr>
      <t xml:space="preserve"> → </t>
    </r>
    <r>
      <rPr>
        <b/>
        <sz val="11"/>
        <color theme="1"/>
        <rFont val="Aptos Narrow"/>
        <family val="2"/>
        <scheme val="minor"/>
      </rPr>
      <t>excel</t>
    </r>
  </si>
  <si>
    <t xml:space="preserve"> =PROPER("excel functions")</t>
  </si>
  <si>
    <t>TRIM</t>
  </si>
  <si>
    <t>Removes extra spaces (except single spaces between words)</t>
  </si>
  <si>
    <r>
      <t>Formula:</t>
    </r>
    <r>
      <rPr>
        <sz val="11"/>
        <color theme="1"/>
        <rFont val="Aptos Narrow"/>
        <family val="2"/>
        <scheme val="minor"/>
      </rPr>
      <t xml:space="preserve"> </t>
    </r>
    <r>
      <rPr>
        <sz val="10"/>
        <color theme="1"/>
        <rFont val="Arial Unicode MS"/>
      </rPr>
      <t>=TRIM(text)</t>
    </r>
  </si>
  <si>
    <t>Example:</t>
  </si>
  <si>
    <r>
      <t>=TRIM(" Hello World ")</t>
    </r>
    <r>
      <rPr>
        <sz val="11"/>
        <color theme="1"/>
        <rFont val="Aptos Narrow"/>
        <family val="2"/>
        <scheme val="minor"/>
      </rPr>
      <t xml:space="preserve"> → </t>
    </r>
    <r>
      <rPr>
        <b/>
        <sz val="11"/>
        <color theme="1"/>
        <rFont val="Aptos Narrow"/>
        <family val="2"/>
        <scheme val="minor"/>
      </rPr>
      <t>Hello World</t>
    </r>
  </si>
  <si>
    <t>Formats numbers as text</t>
  </si>
  <si>
    <r>
      <t>Formula:</t>
    </r>
    <r>
      <rPr>
        <sz val="11"/>
        <color theme="1"/>
        <rFont val="Aptos Narrow"/>
        <family val="2"/>
        <scheme val="minor"/>
      </rPr>
      <t xml:space="preserve"> </t>
    </r>
    <r>
      <rPr>
        <sz val="10"/>
        <color theme="1"/>
        <rFont val="Arial Unicode MS"/>
      </rPr>
      <t>=TEXT(value, format_text)</t>
    </r>
  </si>
  <si>
    <r>
      <t>=TEXT(1000,"$#,##0")</t>
    </r>
    <r>
      <rPr>
        <sz val="11"/>
        <color theme="1"/>
        <rFont val="Aptos Narrow"/>
        <family val="2"/>
        <scheme val="minor"/>
      </rPr>
      <t xml:space="preserve"> → </t>
    </r>
    <r>
      <rPr>
        <b/>
        <sz val="11"/>
        <color theme="1"/>
        <rFont val="Aptos Narrow"/>
        <family val="2"/>
        <scheme val="minor"/>
      </rPr>
      <t>$1,000</t>
    </r>
  </si>
  <si>
    <t>TEXT</t>
  </si>
  <si>
    <t>CONCAT / CONCATENATE</t>
  </si>
  <si>
    <t>Joins text together</t>
  </si>
  <si>
    <r>
      <t>=CONCAT(text1, text2, ...)</t>
    </r>
    <r>
      <rPr>
        <sz val="11"/>
        <color theme="1"/>
        <rFont val="Aptos Narrow"/>
        <family val="2"/>
        <scheme val="minor"/>
      </rPr>
      <t xml:space="preserve"> (new)</t>
    </r>
  </si>
  <si>
    <r>
      <t>=CONCATENATE(text1, text2, ...)</t>
    </r>
    <r>
      <rPr>
        <sz val="11"/>
        <color theme="1"/>
        <rFont val="Aptos Narrow"/>
        <family val="2"/>
        <scheme val="minor"/>
      </rPr>
      <t xml:space="preserve"> (older)</t>
    </r>
  </si>
  <si>
    <r>
      <t>=CONCAT("Hello"," ","World")</t>
    </r>
    <r>
      <rPr>
        <sz val="11"/>
        <color theme="1"/>
        <rFont val="Aptos Narrow"/>
        <family val="2"/>
        <scheme val="minor"/>
      </rPr>
      <t xml:space="preserve"> → </t>
    </r>
    <r>
      <rPr>
        <b/>
        <sz val="11"/>
        <color theme="1"/>
        <rFont val="Aptos Narrow"/>
        <family val="2"/>
        <scheme val="minor"/>
      </rPr>
      <t>Hello World</t>
    </r>
  </si>
  <si>
    <t>alt+tab</t>
  </si>
  <si>
    <t>use to move from one screen to anthore screen</t>
  </si>
  <si>
    <t>ctrl+c</t>
  </si>
  <si>
    <t>copy the data</t>
  </si>
  <si>
    <t>ctrl+v</t>
  </si>
  <si>
    <t>paste the data</t>
  </si>
  <si>
    <t>ctrl+z</t>
  </si>
  <si>
    <t>go back to last step</t>
  </si>
  <si>
    <t>ctrl+a</t>
  </si>
  <si>
    <t>select entier sheet or all cells</t>
  </si>
  <si>
    <t>Basic Shortcuts</t>
  </si>
  <si>
    <r>
      <t>Ctrl + N</t>
    </r>
    <r>
      <rPr>
        <sz val="11"/>
        <color rgb="FF0000CC"/>
        <rFont val="Aptos Narrow"/>
        <family val="2"/>
        <scheme val="minor"/>
      </rPr>
      <t xml:space="preserve"> → New workbook</t>
    </r>
  </si>
  <si>
    <r>
      <t>Ctrl + O</t>
    </r>
    <r>
      <rPr>
        <sz val="11"/>
        <color rgb="FF0000CC"/>
        <rFont val="Aptos Narrow"/>
        <family val="2"/>
        <scheme val="minor"/>
      </rPr>
      <t xml:space="preserve"> → Open workbook</t>
    </r>
  </si>
  <si>
    <r>
      <t>Ctrl + S</t>
    </r>
    <r>
      <rPr>
        <sz val="11"/>
        <color rgb="FF0000CC"/>
        <rFont val="Aptos Narrow"/>
        <family val="2"/>
        <scheme val="minor"/>
      </rPr>
      <t xml:space="preserve"> → Save workbook</t>
    </r>
  </si>
  <si>
    <r>
      <t>Ctrl + P</t>
    </r>
    <r>
      <rPr>
        <sz val="11"/>
        <color rgb="FF0000CC"/>
        <rFont val="Aptos Narrow"/>
        <family val="2"/>
        <scheme val="minor"/>
      </rPr>
      <t xml:space="preserve"> → Print</t>
    </r>
  </si>
  <si>
    <r>
      <t>Ctrl + Z</t>
    </r>
    <r>
      <rPr>
        <sz val="11"/>
        <color rgb="FF0000CC"/>
        <rFont val="Aptos Narrow"/>
        <family val="2"/>
        <scheme val="minor"/>
      </rPr>
      <t xml:space="preserve"> → Undo</t>
    </r>
  </si>
  <si>
    <r>
      <t>Ctrl + Y</t>
    </r>
    <r>
      <rPr>
        <sz val="11"/>
        <color rgb="FF0000CC"/>
        <rFont val="Aptos Narrow"/>
        <family val="2"/>
        <scheme val="minor"/>
      </rPr>
      <t xml:space="preserve"> → Redo</t>
    </r>
  </si>
  <si>
    <r>
      <t>Ctrl + X</t>
    </r>
    <r>
      <rPr>
        <sz val="11"/>
        <color rgb="FF0000CC"/>
        <rFont val="Aptos Narrow"/>
        <family val="2"/>
        <scheme val="minor"/>
      </rPr>
      <t xml:space="preserve"> → Cut</t>
    </r>
  </si>
  <si>
    <r>
      <t>Ctrl + C</t>
    </r>
    <r>
      <rPr>
        <sz val="11"/>
        <color rgb="FF0000CC"/>
        <rFont val="Aptos Narrow"/>
        <family val="2"/>
        <scheme val="minor"/>
      </rPr>
      <t xml:space="preserve"> → Copy</t>
    </r>
  </si>
  <si>
    <r>
      <t>Ctrl + V</t>
    </r>
    <r>
      <rPr>
        <sz val="11"/>
        <color rgb="FF0000CC"/>
        <rFont val="Aptos Narrow"/>
        <family val="2"/>
        <scheme val="minor"/>
      </rPr>
      <t xml:space="preserve"> → Paste</t>
    </r>
  </si>
  <si>
    <r>
      <t>Ctrl + A</t>
    </r>
    <r>
      <rPr>
        <sz val="11"/>
        <color rgb="FF0000CC"/>
        <rFont val="Aptos Narrow"/>
        <family val="2"/>
        <scheme val="minor"/>
      </rPr>
      <t xml:space="preserve"> → Select all</t>
    </r>
  </si>
  <si>
    <r>
      <t>Ctrl + F</t>
    </r>
    <r>
      <rPr>
        <sz val="11"/>
        <color rgb="FF0000CC"/>
        <rFont val="Aptos Narrow"/>
        <family val="2"/>
        <scheme val="minor"/>
      </rPr>
      <t xml:space="preserve"> → Find</t>
    </r>
  </si>
  <si>
    <r>
      <t>Ctrl + H</t>
    </r>
    <r>
      <rPr>
        <sz val="11"/>
        <color rgb="FF0000CC"/>
        <rFont val="Aptos Narrow"/>
        <family val="2"/>
        <scheme val="minor"/>
      </rPr>
      <t xml:space="preserve"> → Replace</t>
    </r>
  </si>
  <si>
    <t>Navigation</t>
  </si>
  <si>
    <r>
      <t>Arrow Keys</t>
    </r>
    <r>
      <rPr>
        <sz val="11"/>
        <color rgb="FF0000CC"/>
        <rFont val="Aptos Narrow"/>
        <family val="2"/>
        <scheme val="minor"/>
      </rPr>
      <t xml:space="preserve"> → Move between cells</t>
    </r>
  </si>
  <si>
    <r>
      <t>Ctrl + Arrow Key</t>
    </r>
    <r>
      <rPr>
        <sz val="11"/>
        <color rgb="FF0000CC"/>
        <rFont val="Aptos Narrow"/>
        <family val="2"/>
        <scheme val="minor"/>
      </rPr>
      <t xml:space="preserve"> → Jump to the edge of the data region</t>
    </r>
  </si>
  <si>
    <r>
      <t>Ctrl + Home</t>
    </r>
    <r>
      <rPr>
        <sz val="11"/>
        <color rgb="FF0000CC"/>
        <rFont val="Aptos Narrow"/>
        <family val="2"/>
        <scheme val="minor"/>
      </rPr>
      <t xml:space="preserve"> → Go to the first cell (A1)</t>
    </r>
  </si>
  <si>
    <r>
      <t>Ctrl + End</t>
    </r>
    <r>
      <rPr>
        <sz val="11"/>
        <color rgb="FF0000CC"/>
        <rFont val="Aptos Narrow"/>
        <family val="2"/>
        <scheme val="minor"/>
      </rPr>
      <t xml:space="preserve"> → Go to the last used cell</t>
    </r>
  </si>
  <si>
    <t>Ctrl+Shift+Arrow Key</t>
  </si>
  <si>
    <t>Formatting</t>
  </si>
  <si>
    <r>
      <t>Ctrl + B</t>
    </r>
    <r>
      <rPr>
        <sz val="11"/>
        <color rgb="FF0000CC"/>
        <rFont val="Aptos Narrow"/>
        <family val="2"/>
        <scheme val="minor"/>
      </rPr>
      <t xml:space="preserve"> → Bold</t>
    </r>
  </si>
  <si>
    <r>
      <t>Ctrl + I</t>
    </r>
    <r>
      <rPr>
        <sz val="11"/>
        <color rgb="FF0000CC"/>
        <rFont val="Aptos Narrow"/>
        <family val="2"/>
        <scheme val="minor"/>
      </rPr>
      <t xml:space="preserve"> → Italic</t>
    </r>
  </si>
  <si>
    <r>
      <t>Ctrl + U</t>
    </r>
    <r>
      <rPr>
        <sz val="11"/>
        <color rgb="FF0000CC"/>
        <rFont val="Aptos Narrow"/>
        <family val="2"/>
        <scheme val="minor"/>
      </rPr>
      <t xml:space="preserve"> → Underline</t>
    </r>
  </si>
  <si>
    <r>
      <t>Ctrl + 1</t>
    </r>
    <r>
      <rPr>
        <sz val="11"/>
        <color rgb="FF0000CC"/>
        <rFont val="Aptos Narrow"/>
        <family val="2"/>
        <scheme val="minor"/>
      </rPr>
      <t xml:space="preserve"> → Format cells</t>
    </r>
  </si>
  <si>
    <r>
      <t>Ctrl + Shift + $</t>
    </r>
    <r>
      <rPr>
        <sz val="11"/>
        <color rgb="FF0000CC"/>
        <rFont val="Aptos Narrow"/>
        <family val="2"/>
        <scheme val="minor"/>
      </rPr>
      <t xml:space="preserve"> → Currency format</t>
    </r>
  </si>
  <si>
    <r>
      <t>Ctrl + Shift + %</t>
    </r>
    <r>
      <rPr>
        <sz val="11"/>
        <color rgb="FF0000CC"/>
        <rFont val="Aptos Narrow"/>
        <family val="2"/>
        <scheme val="minor"/>
      </rPr>
      <t xml:space="preserve"> → Percentage format</t>
    </r>
  </si>
  <si>
    <r>
      <t>Ctrl + Shift + #</t>
    </r>
    <r>
      <rPr>
        <sz val="11"/>
        <color rgb="FF0000CC"/>
        <rFont val="Aptos Narrow"/>
        <family val="2"/>
        <scheme val="minor"/>
      </rPr>
      <t xml:space="preserve"> → Date format</t>
    </r>
  </si>
  <si>
    <t>Working with Rows &amp; Columns</t>
  </si>
  <si>
    <r>
      <t>Ctrl + Space</t>
    </r>
    <r>
      <rPr>
        <sz val="11"/>
        <color rgb="FF0000CC"/>
        <rFont val="Aptos Narrow"/>
        <family val="2"/>
        <scheme val="minor"/>
      </rPr>
      <t xml:space="preserve"> → Select entire column</t>
    </r>
  </si>
  <si>
    <r>
      <t>Shift + Space</t>
    </r>
    <r>
      <rPr>
        <sz val="11"/>
        <color rgb="FF0000CC"/>
        <rFont val="Aptos Narrow"/>
        <family val="2"/>
        <scheme val="minor"/>
      </rPr>
      <t xml:space="preserve"> → Select entire row</t>
    </r>
  </si>
  <si>
    <r>
      <t>Ctrl + Shift + "+"</t>
    </r>
    <r>
      <rPr>
        <sz val="11"/>
        <color rgb="FF0000CC"/>
        <rFont val="Aptos Narrow"/>
        <family val="2"/>
        <scheme val="minor"/>
      </rPr>
      <t xml:space="preserve"> → Insert row/column</t>
    </r>
  </si>
  <si>
    <r>
      <t>Ctrl + "-"</t>
    </r>
    <r>
      <rPr>
        <sz val="11"/>
        <color rgb="FF0000CC"/>
        <rFont val="Aptos Narrow"/>
        <family val="2"/>
        <scheme val="minor"/>
      </rPr>
      <t xml:space="preserve"> → Delete row/column</t>
    </r>
  </si>
  <si>
    <r>
      <t>Alt + H + O + I</t>
    </r>
    <r>
      <rPr>
        <sz val="11"/>
        <color rgb="FF0000CC"/>
        <rFont val="Aptos Narrow"/>
        <family val="2"/>
        <scheme val="minor"/>
      </rPr>
      <t xml:space="preserve"> → Auto-fit column width</t>
    </r>
  </si>
  <si>
    <t>Formulas</t>
  </si>
  <si>
    <t xml:space="preserve"> = → Start a formula</t>
  </si>
  <si>
    <r>
      <t>Alt + =</t>
    </r>
    <r>
      <rPr>
        <sz val="11"/>
        <color rgb="FF0000CC"/>
        <rFont val="Aptos Narrow"/>
        <family val="2"/>
        <scheme val="minor"/>
      </rPr>
      <t xml:space="preserve"> → AutoSum</t>
    </r>
  </si>
  <si>
    <r>
      <t>F2</t>
    </r>
    <r>
      <rPr>
        <sz val="11"/>
        <color rgb="FF0000CC"/>
        <rFont val="Aptos Narrow"/>
        <family val="2"/>
        <scheme val="minor"/>
      </rPr>
      <t xml:space="preserve"> → Edit the selected cell</t>
    </r>
  </si>
  <si>
    <r>
      <t>Shift + F3</t>
    </r>
    <r>
      <rPr>
        <sz val="11"/>
        <color rgb="FF0000CC"/>
        <rFont val="Aptos Narrow"/>
        <family val="2"/>
        <scheme val="minor"/>
      </rPr>
      <t xml:space="preserve"> → Open Insert Function</t>
    </r>
  </si>
  <si>
    <t>Other Useful Shortcuts</t>
  </si>
  <si>
    <r>
      <t>F4</t>
    </r>
    <r>
      <rPr>
        <sz val="11"/>
        <color rgb="FF0000CC"/>
        <rFont val="Aptos Narrow"/>
        <family val="2"/>
        <scheme val="minor"/>
      </rPr>
      <t xml:space="preserve"> → Repeat last action</t>
    </r>
  </si>
  <si>
    <r>
      <t>Alt + Enter</t>
    </r>
    <r>
      <rPr>
        <sz val="11"/>
        <color rgb="FF0000CC"/>
        <rFont val="Aptos Narrow"/>
        <family val="2"/>
        <scheme val="minor"/>
      </rPr>
      <t xml:space="preserve"> → Insert a new line in the same cell</t>
    </r>
  </si>
  <si>
    <r>
      <t>Ctrl + Shift + L</t>
    </r>
    <r>
      <rPr>
        <sz val="11"/>
        <color rgb="FF0000CC"/>
        <rFont val="Aptos Narrow"/>
        <family val="2"/>
        <scheme val="minor"/>
      </rPr>
      <t xml:space="preserve"> → Apply/remove filters</t>
    </r>
  </si>
  <si>
    <t>SWITCH</t>
  </si>
  <si>
    <t>XLOOKUP</t>
  </si>
  <si>
    <t>copy from left</t>
  </si>
  <si>
    <t>copy from right</t>
  </si>
  <si>
    <t>Month</t>
  </si>
  <si>
    <t>Num1</t>
  </si>
  <si>
    <t>Jan</t>
  </si>
  <si>
    <t>Feb</t>
  </si>
  <si>
    <t>Mar</t>
  </si>
  <si>
    <t>Apr</t>
  </si>
  <si>
    <t>May</t>
  </si>
  <si>
    <t>Jun</t>
  </si>
  <si>
    <t>Create a Macro in Excel</t>
  </si>
  <si>
    <t>Right click anywhere on the ribbon, and then click Customize the Ribbon</t>
  </si>
  <si>
    <t>Under Customize the Ribbon, on the right side of the dialog box, select Main tabs (if necessary).</t>
  </si>
  <si>
    <t>Check the Developer check box.</t>
  </si>
  <si>
    <t> Click OK.</t>
  </si>
  <si>
    <t>relative references</t>
  </si>
  <si>
    <t>Sirname</t>
  </si>
  <si>
    <t>ID</t>
  </si>
  <si>
    <t>city</t>
  </si>
  <si>
    <t>You can find the Developer tab next to the View tab.</t>
  </si>
  <si>
    <t>adjusts its actions based on the currently selected cell when it runs</t>
  </si>
  <si>
    <t>kamat</t>
  </si>
  <si>
    <t>go to the Developer tab.</t>
  </si>
  <si>
    <t>Verma</t>
  </si>
  <si>
    <t>Click Use Relative References</t>
  </si>
  <si>
    <t>Click Record Macro, give it a name (e.g., "CopyDown"), and start recording</t>
  </si>
  <si>
    <t>Kapoor</t>
  </si>
  <si>
    <t>Kolkata</t>
  </si>
  <si>
    <t>Press Ctrl + C to copy the current cell</t>
  </si>
  <si>
    <t>Vikram</t>
  </si>
  <si>
    <t>Joshi</t>
  </si>
  <si>
    <t>Chennai</t>
  </si>
  <si>
    <t>Range("h7:h10").Value = "Hello world"</t>
  </si>
  <si>
    <t>Press the Down Arrow key to move to the cell below.</t>
  </si>
  <si>
    <t>Sneha</t>
  </si>
  <si>
    <t>Bansal</t>
  </si>
  <si>
    <t>Press Ctrl + V to paste the value.</t>
  </si>
  <si>
    <t>Arjun</t>
  </si>
  <si>
    <t>Choudhary</t>
  </si>
  <si>
    <t>Command Button</t>
  </si>
  <si>
    <t>Stop recording.</t>
  </si>
  <si>
    <t>Pooja</t>
  </si>
  <si>
    <t>Malhotra</t>
  </si>
  <si>
    <t>Jaipur</t>
  </si>
  <si>
    <t xml:space="preserve">On the Developer tab, click insert. </t>
  </si>
  <si>
    <t>Kunal</t>
  </si>
  <si>
    <t>Desai</t>
  </si>
  <si>
    <t>Ahmedabad</t>
  </si>
  <si>
    <t>In the ActiveX Controls group, click Command Button.</t>
  </si>
  <si>
    <t>Absolute Macro</t>
  </si>
  <si>
    <t>Riya</t>
  </si>
  <si>
    <t>Saxena</t>
  </si>
  <si>
    <t>Chandigarh</t>
  </si>
  <si>
    <t>Right click CommandButton1 (make sure Design Mode is selected).</t>
  </si>
  <si>
    <t>always performs actions on the exact same cell(s) it was recorded on</t>
  </si>
  <si>
    <t>Click View Code.</t>
  </si>
  <si>
    <t>Visual Basic Editor</t>
  </si>
  <si>
    <t xml:space="preserve">On the Developer tab, click on visual basic. </t>
  </si>
  <si>
    <t>The Visual Basic Editor appears.</t>
  </si>
  <si>
    <t>sumit</t>
  </si>
  <si>
    <t>How to recode marco</t>
  </si>
  <si>
    <t>Go to Developer Tab</t>
  </si>
  <si>
    <t>click on Record Macro</t>
  </si>
  <si>
    <t>Give name to Macro</t>
  </si>
  <si>
    <t xml:space="preserve">do the required activity </t>
  </si>
  <si>
    <t>Stop recording</t>
  </si>
  <si>
    <r>
      <t>SWITCH</t>
    </r>
    <r>
      <rPr>
        <sz val="11"/>
        <color rgb="FF0000FF"/>
        <rFont val="Aptos Narrow"/>
        <family val="2"/>
        <scheme val="minor"/>
      </rPr>
      <t xml:space="preserve"> function in Excel is used to compare one value against multiple possible values and return a result based on the match.</t>
    </r>
  </si>
  <si>
    <r>
      <t xml:space="preserve">It is an alternative to multiple nested </t>
    </r>
    <r>
      <rPr>
        <sz val="10"/>
        <color rgb="FF0000FF"/>
        <rFont val="Arial Unicode MS"/>
      </rPr>
      <t>IF</t>
    </r>
    <r>
      <rPr>
        <sz val="11"/>
        <color rgb="FF0000FF"/>
        <rFont val="Aptos Narrow"/>
        <family val="2"/>
        <scheme val="minor"/>
      </rPr>
      <t xml:space="preserve"> statements.</t>
    </r>
  </si>
  <si>
    <t>Student Name</t>
  </si>
  <si>
    <t>Marka</t>
  </si>
  <si>
    <t>Grade</t>
  </si>
  <si>
    <t>Mohan</t>
  </si>
  <si>
    <t>pooja</t>
  </si>
  <si>
    <t>Arti</t>
  </si>
  <si>
    <t>priya</t>
  </si>
  <si>
    <t>Sumit</t>
  </si>
  <si>
    <t>SWITCH(B6,90,"A",80,"B",70,"C",60,"D","Fail")</t>
  </si>
  <si>
    <t>Day Name</t>
  </si>
  <si>
    <t>Number</t>
  </si>
  <si>
    <t>SWITCH(A19,1,"Monday",2,"Tuesday",3,"Wednesday",4,"Thursday",5,"Friday",6,"Saturday",7,"Sunday","Invalid")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</si>
</sst>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m/d/yy\ h:mm\ AM/PM;@"/>
    <numFmt numFmtId="165" formatCode="[$-409]d\-mmm\-yy;@"/>
    <numFmt numFmtId="166" formatCode="h:mm:ss;@"/>
    <numFmt numFmtId="167" formatCode="000,000,000"/>
    <numFmt numFmtId="168" formatCode="&quot;$&quot;#,##0.00"/>
    <numFmt numFmtId="169" formatCode="[$₹-4009]\ #,##0.00"/>
  </numFmts>
  <fonts count="20">
    <font>
      <sz val="11"/>
      <color theme="1"/>
      <name val="Aptos Narrow"/>
      <family val="2"/>
      <scheme val="minor"/>
    </font>
    <font>
      <b/>
      <sz val="11"/>
      <color theme="1"/>
      <name val="Aptos Narrow"/>
      <family val="2"/>
      <scheme val="minor"/>
    </font>
    <font>
      <sz val="12"/>
      <color rgb="FF0000CC"/>
      <name val="Segoe UI"/>
      <family val="2"/>
    </font>
    <font>
      <b/>
      <sz val="11"/>
      <color rgb="FF0000FF"/>
      <name val="Aptos Narrow"/>
      <family val="2"/>
      <scheme val="minor"/>
    </font>
    <font>
      <b/>
      <sz val="11"/>
      <color rgb="FF0000CC"/>
      <name val="Aptos Narrow"/>
      <family val="2"/>
      <scheme val="minor"/>
    </font>
    <font>
      <b/>
      <sz val="12"/>
      <color rgb="FF0000CC"/>
      <name val="Segoe UI"/>
      <family val="2"/>
    </font>
    <font>
      <sz val="10"/>
      <color indexed="9"/>
      <name val="Aptos Narrow"/>
      <family val="2"/>
      <scheme val="minor"/>
    </font>
    <font>
      <sz val="11"/>
      <color rgb="FF0000CC"/>
      <name val="Aptos Narrow"/>
      <family val="2"/>
      <scheme val="minor"/>
    </font>
    <font>
      <sz val="11"/>
      <color rgb="FF0000FF"/>
      <name val="Aptos Narrow"/>
      <family val="2"/>
      <scheme val="minor"/>
    </font>
    <font>
      <sz val="14"/>
      <color rgb="FFFF0000"/>
      <name val="Aptos Narrow"/>
      <family val="2"/>
      <scheme val="minor"/>
    </font>
    <font>
      <sz val="12"/>
      <color rgb="FF0000FF"/>
      <name val="Segoe UI"/>
      <family val="2"/>
    </font>
    <font>
      <sz val="11"/>
      <name val="Aptos Narrow"/>
      <family val="2"/>
      <scheme val="minor"/>
    </font>
    <font>
      <b/>
      <sz val="12"/>
      <color rgb="FF0000FF"/>
      <name val="Segoe UI"/>
      <family val="2"/>
    </font>
    <font>
      <b/>
      <sz val="12"/>
      <color rgb="FFFF0000"/>
      <name val="Segoe UI"/>
      <family val="2"/>
    </font>
    <font>
      <sz val="12"/>
      <color rgb="FF000000"/>
      <name val="Segoe UI"/>
      <family val="2"/>
    </font>
    <font>
      <sz val="10"/>
      <color theme="1"/>
      <name val="Arial Unicode MS"/>
    </font>
    <font>
      <b/>
      <sz val="13.5"/>
      <color rgb="FF0000CC"/>
      <name val="Aptos Narrow"/>
      <family val="2"/>
      <scheme val="minor"/>
    </font>
    <font>
      <b/>
      <u/>
      <sz val="11"/>
      <color rgb="FF0000CC"/>
      <name val="Aptos Narrow"/>
      <family val="2"/>
      <scheme val="minor"/>
    </font>
    <font>
      <b/>
      <sz val="11"/>
      <color rgb="FFFF0000"/>
      <name val="Aptos Narrow"/>
      <family val="2"/>
      <scheme val="minor"/>
    </font>
    <font>
      <sz val="10"/>
      <color rgb="FF0000FF"/>
      <name val="Arial Unicode MS"/>
    </font>
  </fonts>
  <fills count="22">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49992370372631"/>
        <bgColor indexed="64"/>
      </patternFill>
    </fill>
    <fill>
      <patternFill patternType="solid">
        <fgColor indexed="20"/>
        <bgColor indexed="24"/>
      </patternFill>
    </fill>
    <fill>
      <patternFill patternType="solid">
        <fgColor theme="0"/>
        <bgColor indexed="64"/>
      </patternFill>
    </fill>
    <fill>
      <patternFill patternType="solid">
        <fgColor theme="7" tint="0.59999389629810485"/>
        <bgColor indexed="64"/>
      </patternFill>
    </fill>
    <fill>
      <patternFill patternType="solid">
        <fgColor rgb="FFFFFF66"/>
        <bgColor indexed="64"/>
      </patternFill>
    </fill>
    <fill>
      <patternFill patternType="solid">
        <fgColor theme="7"/>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08">
    <xf numFmtId="0" fontId="0" fillId="0" borderId="0" xfId="0"/>
    <xf numFmtId="0" fontId="0" fillId="0" borderId="1" xfId="0" applyBorder="1"/>
    <xf numFmtId="0" fontId="0" fillId="3" borderId="1" xfId="0" applyFill="1" applyBorder="1"/>
    <xf numFmtId="0" fontId="2" fillId="0" borderId="0" xfId="0" applyFont="1"/>
    <xf numFmtId="3" fontId="0" fillId="0" borderId="0" xfId="0" applyNumberFormat="1"/>
    <xf numFmtId="0" fontId="0" fillId="0" borderId="1" xfId="0" applyBorder="1" applyAlignment="1">
      <alignment vertical="center" wrapText="1"/>
    </xf>
    <xf numFmtId="3" fontId="0" fillId="0" borderId="1" xfId="0" applyNumberFormat="1" applyBorder="1" applyAlignment="1">
      <alignment vertical="center" wrapText="1"/>
    </xf>
    <xf numFmtId="0" fontId="1" fillId="5"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14" fontId="0" fillId="0" borderId="0" xfId="0" applyNumberFormat="1"/>
    <xf numFmtId="0" fontId="3" fillId="0" borderId="0" xfId="0" applyFont="1"/>
    <xf numFmtId="0" fontId="4" fillId="0" borderId="0" xfId="0" applyFont="1"/>
    <xf numFmtId="0" fontId="0" fillId="0" borderId="0" xfId="0" applyAlignment="1">
      <alignment vertical="center" wrapText="1"/>
    </xf>
    <xf numFmtId="3" fontId="0" fillId="0" borderId="0" xfId="0" applyNumberFormat="1" applyAlignment="1">
      <alignment vertical="center" wrapText="1"/>
    </xf>
    <xf numFmtId="0" fontId="5" fillId="0" borderId="0" xfId="0" applyFont="1"/>
    <xf numFmtId="0" fontId="6" fillId="7" borderId="1" xfId="0" applyFont="1" applyFill="1" applyBorder="1" applyAlignment="1">
      <alignment horizontal="right"/>
    </xf>
    <xf numFmtId="0" fontId="0" fillId="4" borderId="1" xfId="0" applyFill="1" applyBorder="1"/>
    <xf numFmtId="0" fontId="7" fillId="0" borderId="0" xfId="0" applyFont="1"/>
    <xf numFmtId="9" fontId="0" fillId="0" borderId="0" xfId="0" applyNumberFormat="1" applyAlignment="1">
      <alignment vertical="center" wrapText="1"/>
    </xf>
    <xf numFmtId="0" fontId="0" fillId="8" borderId="1" xfId="0" applyFill="1" applyBorder="1"/>
    <xf numFmtId="0" fontId="8" fillId="0" borderId="0" xfId="0" applyFont="1"/>
    <xf numFmtId="0" fontId="0" fillId="0" borderId="3" xfId="0" applyBorder="1" applyAlignment="1">
      <alignment vertical="center" wrapText="1"/>
    </xf>
    <xf numFmtId="9" fontId="0" fillId="0" borderId="3" xfId="0" applyNumberFormat="1" applyBorder="1" applyAlignment="1">
      <alignment vertical="center" wrapText="1"/>
    </xf>
    <xf numFmtId="9" fontId="0" fillId="0" borderId="1" xfId="0" applyNumberFormat="1" applyBorder="1" applyAlignment="1">
      <alignment vertical="center" wrapText="1"/>
    </xf>
    <xf numFmtId="0" fontId="9" fillId="0" borderId="0" xfId="0" applyFont="1"/>
    <xf numFmtId="0" fontId="8" fillId="0" borderId="1" xfId="0" applyFont="1" applyBorder="1"/>
    <xf numFmtId="0" fontId="0" fillId="3" borderId="0" xfId="0" applyFill="1"/>
    <xf numFmtId="0" fontId="10" fillId="0" borderId="0" xfId="0" applyFont="1"/>
    <xf numFmtId="0" fontId="0" fillId="9" borderId="1" xfId="0" applyFill="1" applyBorder="1"/>
    <xf numFmtId="0" fontId="0" fillId="2" borderId="7" xfId="0" applyFill="1" applyBorder="1" applyAlignment="1">
      <alignment vertical="center"/>
    </xf>
    <xf numFmtId="0" fontId="0" fillId="12" borderId="0" xfId="0" applyFill="1"/>
    <xf numFmtId="14" fontId="0" fillId="2" borderId="10" xfId="0" applyNumberFormat="1" applyFill="1" applyBorder="1"/>
    <xf numFmtId="14" fontId="0" fillId="6" borderId="1" xfId="0" applyNumberFormat="1" applyFill="1" applyBorder="1"/>
    <xf numFmtId="14" fontId="0" fillId="3" borderId="2" xfId="0" applyNumberFormat="1" applyFill="1" applyBorder="1"/>
    <xf numFmtId="14" fontId="0" fillId="2" borderId="14" xfId="0" applyNumberFormat="1" applyFill="1" applyBorder="1"/>
    <xf numFmtId="0" fontId="0" fillId="3" borderId="2" xfId="0" applyFill="1" applyBorder="1"/>
    <xf numFmtId="0" fontId="0" fillId="6" borderId="1" xfId="0" applyFill="1" applyBorder="1"/>
    <xf numFmtId="0" fontId="0" fillId="2" borderId="14" xfId="0" applyFill="1" applyBorder="1"/>
    <xf numFmtId="0" fontId="0" fillId="2" borderId="17" xfId="0" applyFill="1" applyBorder="1"/>
    <xf numFmtId="0" fontId="0" fillId="14" borderId="1" xfId="0" applyFill="1" applyBorder="1"/>
    <xf numFmtId="0" fontId="11" fillId="15" borderId="1" xfId="0" applyFont="1" applyFill="1" applyBorder="1"/>
    <xf numFmtId="0" fontId="12" fillId="0" borderId="0" xfId="0" applyFont="1"/>
    <xf numFmtId="14" fontId="11" fillId="15" borderId="1" xfId="0" applyNumberFormat="1" applyFont="1" applyFill="1" applyBorder="1"/>
    <xf numFmtId="22" fontId="0" fillId="0" borderId="0" xfId="0" applyNumberFormat="1"/>
    <xf numFmtId="164" fontId="11" fillId="15" borderId="1" xfId="0" applyNumberFormat="1" applyFont="1" applyFill="1" applyBorder="1"/>
    <xf numFmtId="22" fontId="11" fillId="10" borderId="1" xfId="0" applyNumberFormat="1" applyFont="1" applyFill="1" applyBorder="1"/>
    <xf numFmtId="0" fontId="0" fillId="10" borderId="0" xfId="0" applyFill="1"/>
    <xf numFmtId="164" fontId="0" fillId="0" borderId="0" xfId="0" applyNumberFormat="1"/>
    <xf numFmtId="14" fontId="11" fillId="10" borderId="1" xfId="0" applyNumberFormat="1" applyFont="1" applyFill="1" applyBorder="1"/>
    <xf numFmtId="0" fontId="0" fillId="10" borderId="1" xfId="0" applyFill="1" applyBorder="1"/>
    <xf numFmtId="0" fontId="0" fillId="10" borderId="0" xfId="0" applyFill="1" applyAlignment="1">
      <alignment horizontal="right"/>
    </xf>
    <xf numFmtId="15" fontId="0" fillId="0" borderId="0" xfId="0" applyNumberFormat="1"/>
    <xf numFmtId="165" fontId="11" fillId="10" borderId="1" xfId="0" applyNumberFormat="1" applyFont="1" applyFill="1" applyBorder="1"/>
    <xf numFmtId="19" fontId="11" fillId="10" borderId="1" xfId="0" applyNumberFormat="1" applyFont="1" applyFill="1" applyBorder="1"/>
    <xf numFmtId="166" fontId="11" fillId="10" borderId="1" xfId="0" applyNumberFormat="1" applyFont="1" applyFill="1" applyBorder="1"/>
    <xf numFmtId="0" fontId="11" fillId="0" borderId="0" xfId="0" applyFont="1"/>
    <xf numFmtId="21" fontId="11" fillId="10" borderId="1" xfId="0" applyNumberFormat="1" applyFont="1" applyFill="1" applyBorder="1"/>
    <xf numFmtId="14" fontId="11" fillId="16" borderId="1" xfId="0" applyNumberFormat="1" applyFont="1" applyFill="1" applyBorder="1"/>
    <xf numFmtId="0" fontId="0" fillId="16" borderId="1" xfId="0" applyFill="1" applyBorder="1"/>
    <xf numFmtId="14" fontId="0" fillId="16" borderId="0" xfId="0" applyNumberFormat="1" applyFill="1"/>
    <xf numFmtId="0" fontId="0" fillId="16" borderId="0" xfId="0" applyFill="1"/>
    <xf numFmtId="21" fontId="0" fillId="10" borderId="1" xfId="0" applyNumberFormat="1" applyFill="1" applyBorder="1"/>
    <xf numFmtId="0" fontId="11" fillId="16" borderId="1" xfId="0" applyFont="1" applyFill="1" applyBorder="1"/>
    <xf numFmtId="14" fontId="0" fillId="16" borderId="1" xfId="0" applyNumberFormat="1" applyFill="1" applyBorder="1"/>
    <xf numFmtId="19" fontId="0" fillId="0" borderId="0" xfId="0" applyNumberFormat="1"/>
    <xf numFmtId="167" fontId="0" fillId="0" borderId="0" xfId="0" applyNumberFormat="1"/>
    <xf numFmtId="168" fontId="0" fillId="0" borderId="0" xfId="0" applyNumberFormat="1"/>
    <xf numFmtId="169" fontId="0" fillId="0" borderId="0" xfId="0" applyNumberFormat="1"/>
    <xf numFmtId="0" fontId="14" fillId="0" borderId="0" xfId="0" applyFont="1"/>
    <xf numFmtId="0" fontId="0" fillId="17" borderId="1" xfId="0" applyFill="1" applyBorder="1"/>
    <xf numFmtId="0" fontId="0" fillId="18" borderId="1" xfId="0" applyFill="1" applyBorder="1"/>
    <xf numFmtId="0" fontId="0" fillId="0" borderId="0" xfId="0" applyAlignment="1">
      <alignment horizontal="left" vertical="center" indent="1"/>
    </xf>
    <xf numFmtId="0" fontId="15" fillId="0" borderId="0" xfId="0" applyFont="1"/>
    <xf numFmtId="0" fontId="15" fillId="0" borderId="0" xfId="0" applyFont="1" applyAlignment="1">
      <alignment horizontal="left" vertical="center" indent="1"/>
    </xf>
    <xf numFmtId="0" fontId="1" fillId="0" borderId="0" xfId="0" applyFont="1"/>
    <xf numFmtId="0" fontId="16" fillId="0" borderId="0" xfId="0" applyFont="1" applyAlignment="1">
      <alignment vertical="center"/>
    </xf>
    <xf numFmtId="0" fontId="4" fillId="0" borderId="0" xfId="0" applyFont="1" applyAlignment="1">
      <alignment horizontal="left" vertical="center" indent="1"/>
    </xf>
    <xf numFmtId="0" fontId="7" fillId="0" borderId="0" xfId="0" applyFont="1" applyAlignment="1">
      <alignment horizontal="left" vertical="center" indent="1"/>
    </xf>
    <xf numFmtId="0" fontId="0" fillId="19" borderId="1" xfId="0" applyFill="1" applyBorder="1"/>
    <xf numFmtId="0" fontId="0" fillId="0" borderId="1" xfId="0" applyBorder="1">
      <extLst>
        <ext xmlns:xfpb="http://schemas.microsoft.com/office/spreadsheetml/2022/featurepropertybag" uri="{C7286773-470A-42A8-94C5-96B5CB345126}">
          <xfpb:xfComplement i="0"/>
        </ext>
      </extLst>
    </xf>
    <xf numFmtId="16" fontId="0" fillId="0" borderId="1" xfId="0" applyNumberFormat="1" applyBorder="1">
      <extLst>
        <ext xmlns:xfpb="http://schemas.microsoft.com/office/spreadsheetml/2022/featurepropertybag" uri="{C7286773-470A-42A8-94C5-96B5CB345126}">
          <xfpb:xfComplement i="0"/>
        </ext>
      </extLst>
    </xf>
    <xf numFmtId="16" fontId="0" fillId="0" borderId="1" xfId="0" applyNumberFormat="1" applyBorder="1"/>
    <xf numFmtId="0" fontId="17" fillId="0" borderId="0" xfId="0" applyFont="1"/>
    <xf numFmtId="0" fontId="0" fillId="2" borderId="1" xfId="0" applyFill="1" applyBorder="1"/>
    <xf numFmtId="0" fontId="18" fillId="0" borderId="0" xfId="0" applyFont="1"/>
    <xf numFmtId="0" fontId="0" fillId="20" borderId="1" xfId="0" applyFill="1" applyBorder="1"/>
    <xf numFmtId="0" fontId="0" fillId="21" borderId="1" xfId="0" applyFill="1" applyBorder="1"/>
    <xf numFmtId="0" fontId="1" fillId="10" borderId="4" xfId="0" applyFont="1" applyFill="1" applyBorder="1" applyAlignment="1">
      <alignment horizontal="center" vertical="center"/>
    </xf>
    <xf numFmtId="0" fontId="1" fillId="10" borderId="5" xfId="0" applyFont="1" applyFill="1" applyBorder="1" applyAlignment="1">
      <alignment horizontal="center" vertical="center"/>
    </xf>
    <xf numFmtId="0" fontId="1" fillId="10" borderId="6" xfId="0" applyFont="1" applyFill="1" applyBorder="1" applyAlignment="1">
      <alignment horizontal="center" vertical="center"/>
    </xf>
    <xf numFmtId="0" fontId="0" fillId="11" borderId="0" xfId="0" applyFill="1" applyAlignment="1">
      <alignment horizontal="center"/>
    </xf>
    <xf numFmtId="0" fontId="1"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2" xfId="0" applyFont="1" applyFill="1" applyBorder="1" applyAlignment="1">
      <alignment horizontal="center" vertical="center"/>
    </xf>
    <xf numFmtId="0" fontId="1" fillId="10" borderId="13" xfId="0" applyFont="1" applyFill="1" applyBorder="1" applyAlignment="1">
      <alignment horizontal="center" vertical="center"/>
    </xf>
    <xf numFmtId="0" fontId="1" fillId="10" borderId="15" xfId="0" applyFont="1" applyFill="1" applyBorder="1" applyAlignment="1">
      <alignment horizontal="center" vertical="center"/>
    </xf>
    <xf numFmtId="0" fontId="1" fillId="10" borderId="16"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1" xfId="0" applyFont="1" applyFill="1" applyBorder="1" applyAlignment="1">
      <alignment horizontal="center" vertical="center"/>
    </xf>
    <xf numFmtId="0" fontId="1" fillId="13" borderId="9" xfId="0" applyFont="1" applyFill="1" applyBorder="1" applyAlignment="1">
      <alignment horizontal="center" vertical="center"/>
    </xf>
    <xf numFmtId="0" fontId="1" fillId="13" borderId="12" xfId="0" applyFont="1" applyFill="1" applyBorder="1" applyAlignment="1">
      <alignment horizontal="center" vertical="center"/>
    </xf>
    <xf numFmtId="0" fontId="1" fillId="13" borderId="0" xfId="0" applyFont="1" applyFill="1" applyAlignment="1">
      <alignment horizontal="center" vertical="center"/>
    </xf>
    <xf numFmtId="0" fontId="1" fillId="13" borderId="13" xfId="0" applyFont="1" applyFill="1" applyBorder="1" applyAlignment="1">
      <alignment horizontal="center" vertical="center"/>
    </xf>
    <xf numFmtId="0" fontId="1" fillId="13" borderId="15" xfId="0" applyFont="1" applyFill="1" applyBorder="1" applyAlignment="1">
      <alignment horizontal="center" vertical="center"/>
    </xf>
    <xf numFmtId="0" fontId="1" fillId="13" borderId="3" xfId="0" applyFont="1" applyFill="1" applyBorder="1" applyAlignment="1">
      <alignment horizontal="center" vertical="center"/>
    </xf>
    <xf numFmtId="0" fontId="1" fillId="13" borderId="16" xfId="0" applyFont="1" applyFill="1" applyBorder="1" applyAlignment="1">
      <alignment horizontal="center" vertical="center"/>
    </xf>
    <xf numFmtId="0" fontId="19" fillId="0" borderId="0" xfId="0" applyFont="1"/>
  </cellXfs>
  <cellStyles count="1">
    <cellStyle name="Normal" xfId="0" builtinId="0"/>
  </cellStyles>
  <dxfs count="12">
    <dxf>
      <fill>
        <patternFill>
          <bgColor rgb="FF92D050"/>
        </patternFill>
      </fill>
    </dxf>
    <dxf>
      <fill>
        <patternFill>
          <bgColor theme="3" tint="0.499984740745262"/>
        </patternFill>
      </fill>
    </dxf>
    <dxf>
      <fill>
        <patternFill>
          <bgColor theme="8"/>
        </patternFill>
      </fill>
    </dxf>
    <dxf>
      <fill>
        <patternFill>
          <bgColor theme="7" tint="0.39994506668294322"/>
        </patternFill>
      </fill>
    </dxf>
    <dxf>
      <fill>
        <patternFill>
          <bgColor theme="9" tint="0.39994506668294322"/>
        </patternFill>
      </fill>
    </dxf>
    <dxf>
      <fill>
        <patternFill>
          <bgColor rgb="FFFFC000"/>
        </patternFill>
      </fill>
    </dxf>
    <dxf>
      <font>
        <color rgb="FF9C0006"/>
      </font>
      <fill>
        <patternFill>
          <bgColor rgb="FFFFC7CE"/>
        </patternFill>
      </fill>
    </dxf>
    <dxf>
      <fill>
        <patternFill>
          <bgColor rgb="FFFFFF00"/>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66FF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class sheets-2-Data Analytics customized.xlsx]Pivot chats!PivotTable3</c:name>
    <c:fmtId val="2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s>
    <c:plotArea>
      <c:layout/>
      <c:doughnutChart>
        <c:varyColors val="1"/>
        <c:ser>
          <c:idx val="0"/>
          <c:order val="0"/>
          <c:tx>
            <c:strRef>
              <c:f>'Pivot chats'!$B$3</c:f>
              <c:strCache>
                <c:ptCount val="1"/>
                <c:pt idx="0">
                  <c:v>Sum of Amount (Rs.)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63-4C2D-89ED-8673C1899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63-4C2D-89ED-8673C1899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63-4C2D-89ED-8673C18994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63-4C2D-89ED-8673C18994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63-4C2D-89ED-8673C18994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63-4C2D-89ED-8673C18994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863-4C2D-89ED-8673C189944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863-4C2D-89ED-8673C189944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863-4C2D-89ED-8673C189944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863-4C2D-89ED-8673C189944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863-4C2D-89ED-8673C189944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863-4C2D-89ED-8673C189944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863-4C2D-89ED-8673C189944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863-4C2D-89ED-8673C189944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863-4C2D-89ED-8673C189944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863-4C2D-89ED-8673C189944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863-4C2D-89ED-8673C189944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863-4C2D-89ED-8673C189944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863-4C2D-89ED-8673C189944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863-4C2D-89ED-8673C189944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863-4C2D-89ED-8673C189944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863-4C2D-89ED-8673C189944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863-4C2D-89ED-8673C189944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863-4C2D-89ED-8673C189944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863-4C2D-89ED-8673C189944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863-4C2D-89ED-8673C189944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863-4C2D-89ED-8673C189944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863-4C2D-89ED-8673C189944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6863-4C2D-89ED-8673C189944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6863-4C2D-89ED-8673C189944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6863-4C2D-89ED-8673C189944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6863-4C2D-89ED-8673C189944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6863-4C2D-89ED-8673C1899441}"/>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6863-4C2D-89ED-8673C1899441}"/>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6863-4C2D-89ED-8673C1899441}"/>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6863-4C2D-89ED-8673C1899441}"/>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6863-4C2D-89ED-8673C1899441}"/>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6863-4C2D-89ED-8673C1899441}"/>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6863-4C2D-89ED-8673C1899441}"/>
              </c:ext>
            </c:extLst>
          </c:dPt>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chats'!$B$4:$B$43</c:f>
              <c:numCache>
                <c:formatCode>#,##0</c:formatCode>
                <c:ptCount val="39"/>
                <c:pt idx="0">
                  <c:v>5500</c:v>
                </c:pt>
                <c:pt idx="1">
                  <c:v>1000</c:v>
                </c:pt>
                <c:pt idx="2">
                  <c:v>2400</c:v>
                </c:pt>
                <c:pt idx="3">
                  <c:v>3500</c:v>
                </c:pt>
                <c:pt idx="4">
                  <c:v>1200</c:v>
                </c:pt>
                <c:pt idx="5">
                  <c:v>600</c:v>
                </c:pt>
                <c:pt idx="6">
                  <c:v>1800</c:v>
                </c:pt>
                <c:pt idx="7">
                  <c:v>1400</c:v>
                </c:pt>
                <c:pt idx="8">
                  <c:v>2000</c:v>
                </c:pt>
                <c:pt idx="9">
                  <c:v>25000</c:v>
                </c:pt>
                <c:pt idx="10">
                  <c:v>8000</c:v>
                </c:pt>
                <c:pt idx="11">
                  <c:v>2400</c:v>
                </c:pt>
                <c:pt idx="12">
                  <c:v>3500</c:v>
                </c:pt>
                <c:pt idx="13">
                  <c:v>2500</c:v>
                </c:pt>
                <c:pt idx="14">
                  <c:v>5000</c:v>
                </c:pt>
                <c:pt idx="15">
                  <c:v>1500</c:v>
                </c:pt>
                <c:pt idx="16">
                  <c:v>900</c:v>
                </c:pt>
                <c:pt idx="17">
                  <c:v>1500</c:v>
                </c:pt>
                <c:pt idx="18">
                  <c:v>2200</c:v>
                </c:pt>
                <c:pt idx="19">
                  <c:v>900</c:v>
                </c:pt>
                <c:pt idx="20">
                  <c:v>1000</c:v>
                </c:pt>
                <c:pt idx="21">
                  <c:v>7000</c:v>
                </c:pt>
                <c:pt idx="22">
                  <c:v>4500</c:v>
                </c:pt>
                <c:pt idx="23">
                  <c:v>800</c:v>
                </c:pt>
                <c:pt idx="24">
                  <c:v>3000</c:v>
                </c:pt>
                <c:pt idx="25">
                  <c:v>4500</c:v>
                </c:pt>
                <c:pt idx="26">
                  <c:v>1800</c:v>
                </c:pt>
                <c:pt idx="27">
                  <c:v>12000</c:v>
                </c:pt>
                <c:pt idx="28">
                  <c:v>4500</c:v>
                </c:pt>
                <c:pt idx="29">
                  <c:v>1200</c:v>
                </c:pt>
                <c:pt idx="30">
                  <c:v>6000</c:v>
                </c:pt>
                <c:pt idx="31">
                  <c:v>3000</c:v>
                </c:pt>
                <c:pt idx="32">
                  <c:v>3200</c:v>
                </c:pt>
                <c:pt idx="33">
                  <c:v>14000</c:v>
                </c:pt>
                <c:pt idx="34">
                  <c:v>1800</c:v>
                </c:pt>
                <c:pt idx="35">
                  <c:v>15000</c:v>
                </c:pt>
                <c:pt idx="36">
                  <c:v>1800</c:v>
                </c:pt>
                <c:pt idx="37">
                  <c:v>5000</c:v>
                </c:pt>
                <c:pt idx="38">
                  <c:v>11000</c:v>
                </c:pt>
              </c:numCache>
            </c:numRef>
          </c:val>
          <c:extLst>
            <c:ext xmlns:c16="http://schemas.microsoft.com/office/drawing/2014/chart" uri="{C3380CC4-5D6E-409C-BE32-E72D297353CC}">
              <c16:uniqueId val="{00000000-F4E3-4312-B490-04F2018FADE9}"/>
            </c:ext>
          </c:extLst>
        </c:ser>
        <c:ser>
          <c:idx val="1"/>
          <c:order val="1"/>
          <c:tx>
            <c:strRef>
              <c:f>'Pivot chats'!$C$3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6863-4C2D-89ED-8673C1899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1-6863-4C2D-89ED-8673C1899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3-6863-4C2D-89ED-8673C18994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5-6863-4C2D-89ED-8673C18994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7-6863-4C2D-89ED-8673C18994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9-6863-4C2D-89ED-8673C189944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B-6863-4C2D-89ED-8673C189944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D-6863-4C2D-89ED-8673C189944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F-6863-4C2D-89ED-8673C189944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1-6863-4C2D-89ED-8673C189944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3-6863-4C2D-89ED-8673C189944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5-6863-4C2D-89ED-8673C189944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7-6863-4C2D-89ED-8673C189944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9-6863-4C2D-89ED-8673C189944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B-6863-4C2D-89ED-8673C189944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D-6863-4C2D-89ED-8673C189944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F-6863-4C2D-89ED-8673C189944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1-6863-4C2D-89ED-8673C189944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3-6863-4C2D-89ED-8673C189944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5-6863-4C2D-89ED-8673C189944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77-6863-4C2D-89ED-8673C189944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79-6863-4C2D-89ED-8673C189944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7B-6863-4C2D-89ED-8673C189944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7D-6863-4C2D-89ED-8673C189944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7F-6863-4C2D-89ED-8673C189944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81-6863-4C2D-89ED-8673C189944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83-6863-4C2D-89ED-8673C189944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85-6863-4C2D-89ED-8673C189944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87-6863-4C2D-89ED-8673C189944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89-6863-4C2D-89ED-8673C189944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8B-6863-4C2D-89ED-8673C189944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8D-6863-4C2D-89ED-8673C189944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8F-6863-4C2D-89ED-8673C1899441}"/>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91-6863-4C2D-89ED-8673C1899441}"/>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93-6863-4C2D-89ED-8673C1899441}"/>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95-6863-4C2D-89ED-8673C1899441}"/>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97-6863-4C2D-89ED-8673C1899441}"/>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99-6863-4C2D-89ED-8673C1899441}"/>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9B-6863-4C2D-89ED-8673C1899441}"/>
              </c:ext>
            </c:extLst>
          </c:dPt>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chats'!$C$4:$C$43</c:f>
              <c:numCache>
                <c:formatCode>General</c:formatCode>
                <c:ptCount val="39"/>
                <c:pt idx="0">
                  <c:v>1</c:v>
                </c:pt>
                <c:pt idx="1">
                  <c:v>2</c:v>
                </c:pt>
                <c:pt idx="2">
                  <c:v>2</c:v>
                </c:pt>
                <c:pt idx="3">
                  <c:v>1</c:v>
                </c:pt>
                <c:pt idx="4">
                  <c:v>3</c:v>
                </c:pt>
                <c:pt idx="5">
                  <c:v>1</c:v>
                </c:pt>
                <c:pt idx="6">
                  <c:v>1</c:v>
                </c:pt>
                <c:pt idx="7">
                  <c:v>2</c:v>
                </c:pt>
                <c:pt idx="8">
                  <c:v>1</c:v>
                </c:pt>
                <c:pt idx="9">
                  <c:v>1</c:v>
                </c:pt>
                <c:pt idx="10">
                  <c:v>1</c:v>
                </c:pt>
                <c:pt idx="11">
                  <c:v>2</c:v>
                </c:pt>
                <c:pt idx="12">
                  <c:v>1</c:v>
                </c:pt>
                <c:pt idx="13">
                  <c:v>1</c:v>
                </c:pt>
                <c:pt idx="14">
                  <c:v>1</c:v>
                </c:pt>
                <c:pt idx="15">
                  <c:v>2</c:v>
                </c:pt>
                <c:pt idx="16">
                  <c:v>3</c:v>
                </c:pt>
                <c:pt idx="17">
                  <c:v>1</c:v>
                </c:pt>
                <c:pt idx="18">
                  <c:v>1</c:v>
                </c:pt>
                <c:pt idx="19">
                  <c:v>1</c:v>
                </c:pt>
                <c:pt idx="20">
                  <c:v>1</c:v>
                </c:pt>
                <c:pt idx="21">
                  <c:v>1</c:v>
                </c:pt>
                <c:pt idx="22">
                  <c:v>1</c:v>
                </c:pt>
                <c:pt idx="23">
                  <c:v>1</c:v>
                </c:pt>
                <c:pt idx="24">
                  <c:v>1</c:v>
                </c:pt>
                <c:pt idx="25">
                  <c:v>1</c:v>
                </c:pt>
                <c:pt idx="26">
                  <c:v>2</c:v>
                </c:pt>
                <c:pt idx="27">
                  <c:v>1</c:v>
                </c:pt>
                <c:pt idx="28">
                  <c:v>1</c:v>
                </c:pt>
                <c:pt idx="29">
                  <c:v>1</c:v>
                </c:pt>
                <c:pt idx="30">
                  <c:v>1</c:v>
                </c:pt>
                <c:pt idx="31">
                  <c:v>1</c:v>
                </c:pt>
                <c:pt idx="32">
                  <c:v>1</c:v>
                </c:pt>
                <c:pt idx="33">
                  <c:v>1</c:v>
                </c:pt>
                <c:pt idx="34">
                  <c:v>3</c:v>
                </c:pt>
                <c:pt idx="35">
                  <c:v>1</c:v>
                </c:pt>
                <c:pt idx="36">
                  <c:v>1</c:v>
                </c:pt>
                <c:pt idx="37">
                  <c:v>2</c:v>
                </c:pt>
                <c:pt idx="38">
                  <c:v>1</c:v>
                </c:pt>
              </c:numCache>
            </c:numRef>
          </c:val>
          <c:extLst>
            <c:ext xmlns:c16="http://schemas.microsoft.com/office/drawing/2014/chart" uri="{C3380CC4-5D6E-409C-BE32-E72D297353CC}">
              <c16:uniqueId val="{00000001-F4E3-4312-B490-04F2018FAD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 class sheets-2-Data Analytics customized.xlsx]Pivot chats!PivotTable3</c:name>
    <c:fmtId val="3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chats'!$B$3</c:f>
              <c:strCache>
                <c:ptCount val="1"/>
                <c:pt idx="0">
                  <c:v>Sum of Amount (Rs.)</c:v>
                </c:pt>
              </c:strCache>
            </c:strRef>
          </c:tx>
          <c:spPr>
            <a:solidFill>
              <a:schemeClr val="accent1"/>
            </a:solidFill>
            <a:ln>
              <a:noFill/>
            </a:ln>
            <a:effectLst/>
            <a:sp3d/>
          </c:spPr>
          <c:invertIfNegative val="0"/>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chats'!$B$4:$B$43</c:f>
              <c:numCache>
                <c:formatCode>#,##0</c:formatCode>
                <c:ptCount val="39"/>
                <c:pt idx="0">
                  <c:v>5500</c:v>
                </c:pt>
                <c:pt idx="1">
                  <c:v>1000</c:v>
                </c:pt>
                <c:pt idx="2">
                  <c:v>2400</c:v>
                </c:pt>
                <c:pt idx="3">
                  <c:v>3500</c:v>
                </c:pt>
                <c:pt idx="4">
                  <c:v>1200</c:v>
                </c:pt>
                <c:pt idx="5">
                  <c:v>600</c:v>
                </c:pt>
                <c:pt idx="6">
                  <c:v>1800</c:v>
                </c:pt>
                <c:pt idx="7">
                  <c:v>1400</c:v>
                </c:pt>
                <c:pt idx="8">
                  <c:v>2000</c:v>
                </c:pt>
                <c:pt idx="9">
                  <c:v>25000</c:v>
                </c:pt>
                <c:pt idx="10">
                  <c:v>8000</c:v>
                </c:pt>
                <c:pt idx="11">
                  <c:v>2400</c:v>
                </c:pt>
                <c:pt idx="12">
                  <c:v>3500</c:v>
                </c:pt>
                <c:pt idx="13">
                  <c:v>2500</c:v>
                </c:pt>
                <c:pt idx="14">
                  <c:v>5000</c:v>
                </c:pt>
                <c:pt idx="15">
                  <c:v>1500</c:v>
                </c:pt>
                <c:pt idx="16">
                  <c:v>900</c:v>
                </c:pt>
                <c:pt idx="17">
                  <c:v>1500</c:v>
                </c:pt>
                <c:pt idx="18">
                  <c:v>2200</c:v>
                </c:pt>
                <c:pt idx="19">
                  <c:v>900</c:v>
                </c:pt>
                <c:pt idx="20">
                  <c:v>1000</c:v>
                </c:pt>
                <c:pt idx="21">
                  <c:v>7000</c:v>
                </c:pt>
                <c:pt idx="22">
                  <c:v>4500</c:v>
                </c:pt>
                <c:pt idx="23">
                  <c:v>800</c:v>
                </c:pt>
                <c:pt idx="24">
                  <c:v>3000</c:v>
                </c:pt>
                <c:pt idx="25">
                  <c:v>4500</c:v>
                </c:pt>
                <c:pt idx="26">
                  <c:v>1800</c:v>
                </c:pt>
                <c:pt idx="27">
                  <c:v>12000</c:v>
                </c:pt>
                <c:pt idx="28">
                  <c:v>4500</c:v>
                </c:pt>
                <c:pt idx="29">
                  <c:v>1200</c:v>
                </c:pt>
                <c:pt idx="30">
                  <c:v>6000</c:v>
                </c:pt>
                <c:pt idx="31">
                  <c:v>3000</c:v>
                </c:pt>
                <c:pt idx="32">
                  <c:v>3200</c:v>
                </c:pt>
                <c:pt idx="33">
                  <c:v>14000</c:v>
                </c:pt>
                <c:pt idx="34">
                  <c:v>1800</c:v>
                </c:pt>
                <c:pt idx="35">
                  <c:v>15000</c:v>
                </c:pt>
                <c:pt idx="36">
                  <c:v>1800</c:v>
                </c:pt>
                <c:pt idx="37">
                  <c:v>5000</c:v>
                </c:pt>
                <c:pt idx="38">
                  <c:v>11000</c:v>
                </c:pt>
              </c:numCache>
            </c:numRef>
          </c:val>
          <c:extLst>
            <c:ext xmlns:c16="http://schemas.microsoft.com/office/drawing/2014/chart" uri="{C3380CC4-5D6E-409C-BE32-E72D297353CC}">
              <c16:uniqueId val="{00000000-EFA2-4097-9F76-33544098F6AC}"/>
            </c:ext>
          </c:extLst>
        </c:ser>
        <c:ser>
          <c:idx val="1"/>
          <c:order val="1"/>
          <c:tx>
            <c:strRef>
              <c:f>'Pivot chats'!$C$3</c:f>
              <c:strCache>
                <c:ptCount val="1"/>
                <c:pt idx="0">
                  <c:v>Sum of Quantity</c:v>
                </c:pt>
              </c:strCache>
            </c:strRef>
          </c:tx>
          <c:spPr>
            <a:solidFill>
              <a:schemeClr val="accent2"/>
            </a:solidFill>
            <a:ln>
              <a:noFill/>
            </a:ln>
            <a:effectLst/>
            <a:sp3d/>
          </c:spPr>
          <c:invertIfNegative val="0"/>
          <c:cat>
            <c:strRef>
              <c:f>'Pivot chats'!$A$4:$A$43</c:f>
              <c:strCache>
                <c:ptCount val="39"/>
                <c:pt idx="0">
                  <c:v>Aditya Kapoor</c:v>
                </c:pt>
                <c:pt idx="1">
                  <c:v>Alok Tiwari</c:v>
                </c:pt>
                <c:pt idx="2">
                  <c:v>Amit Sharma</c:v>
                </c:pt>
                <c:pt idx="3">
                  <c:v>Ankit Sinha</c:v>
                </c:pt>
                <c:pt idx="4">
                  <c:v>Arjun Pillai</c:v>
                </c:pt>
                <c:pt idx="5">
                  <c:v>Bhavesh Thakur</c:v>
                </c:pt>
                <c:pt idx="6">
                  <c:v>Deepak Rawat</c:v>
                </c:pt>
                <c:pt idx="7">
                  <c:v>Divya Kulkarni</c:v>
                </c:pt>
                <c:pt idx="8">
                  <c:v>Gaurav Khanna</c:v>
                </c:pt>
                <c:pt idx="9">
                  <c:v>Harsh Chauhan</c:v>
                </c:pt>
                <c:pt idx="10">
                  <c:v>Jyoti Sharma</c:v>
                </c:pt>
                <c:pt idx="11">
                  <c:v>Karthik Reddy</c:v>
                </c:pt>
                <c:pt idx="12">
                  <c:v>Kavita Chawla</c:v>
                </c:pt>
                <c:pt idx="13">
                  <c:v>Kiran Desai</c:v>
                </c:pt>
                <c:pt idx="14">
                  <c:v>Manish Pandey</c:v>
                </c:pt>
                <c:pt idx="15">
                  <c:v>Meena Dubey</c:v>
                </c:pt>
                <c:pt idx="16">
                  <c:v>Mohit Joshi</c:v>
                </c:pt>
                <c:pt idx="17">
                  <c:v>Neha Gupta</c:v>
                </c:pt>
                <c:pt idx="18">
                  <c:v>Nitin Saxena</c:v>
                </c:pt>
                <c:pt idx="19">
                  <c:v>Pankaj Narang</c:v>
                </c:pt>
                <c:pt idx="20">
                  <c:v>Pooja Mehta</c:v>
                </c:pt>
                <c:pt idx="21">
                  <c:v>Preeti Kaur</c:v>
                </c:pt>
                <c:pt idx="22">
                  <c:v>Priya Malhotra</c:v>
                </c:pt>
                <c:pt idx="23">
                  <c:v>Raj Verma</c:v>
                </c:pt>
                <c:pt idx="24">
                  <c:v>Ravi Shankar</c:v>
                </c:pt>
                <c:pt idx="25">
                  <c:v>Riya Patel</c:v>
                </c:pt>
                <c:pt idx="26">
                  <c:v>Rohit Bansal</c:v>
                </c:pt>
                <c:pt idx="27">
                  <c:v>Sanjay Kumar</c:v>
                </c:pt>
                <c:pt idx="28">
                  <c:v>Sheetal Rao</c:v>
                </c:pt>
                <c:pt idx="29">
                  <c:v>Sneha Reddy</c:v>
                </c:pt>
                <c:pt idx="30">
                  <c:v>Snehal Kapoor</c:v>
                </c:pt>
                <c:pt idx="31">
                  <c:v>Suman Rai</c:v>
                </c:pt>
                <c:pt idx="32">
                  <c:v>Sunil Yadav</c:v>
                </c:pt>
                <c:pt idx="33">
                  <c:v>Suresh Menon</c:v>
                </c:pt>
                <c:pt idx="34">
                  <c:v>Swati Agarwal</c:v>
                </c:pt>
                <c:pt idx="35">
                  <c:v>Tarun Mehta</c:v>
                </c:pt>
                <c:pt idx="36">
                  <c:v>Varsha Jain</c:v>
                </c:pt>
                <c:pt idx="37">
                  <c:v>Vikram Singh</c:v>
                </c:pt>
                <c:pt idx="38">
                  <c:v>Yashwant Sinha</c:v>
                </c:pt>
              </c:strCache>
            </c:strRef>
          </c:cat>
          <c:val>
            <c:numRef>
              <c:f>'Pivot chats'!$C$4:$C$43</c:f>
              <c:numCache>
                <c:formatCode>General</c:formatCode>
                <c:ptCount val="39"/>
                <c:pt idx="0">
                  <c:v>1</c:v>
                </c:pt>
                <c:pt idx="1">
                  <c:v>2</c:v>
                </c:pt>
                <c:pt idx="2">
                  <c:v>2</c:v>
                </c:pt>
                <c:pt idx="3">
                  <c:v>1</c:v>
                </c:pt>
                <c:pt idx="4">
                  <c:v>3</c:v>
                </c:pt>
                <c:pt idx="5">
                  <c:v>1</c:v>
                </c:pt>
                <c:pt idx="6">
                  <c:v>1</c:v>
                </c:pt>
                <c:pt idx="7">
                  <c:v>2</c:v>
                </c:pt>
                <c:pt idx="8">
                  <c:v>1</c:v>
                </c:pt>
                <c:pt idx="9">
                  <c:v>1</c:v>
                </c:pt>
                <c:pt idx="10">
                  <c:v>1</c:v>
                </c:pt>
                <c:pt idx="11">
                  <c:v>2</c:v>
                </c:pt>
                <c:pt idx="12">
                  <c:v>1</c:v>
                </c:pt>
                <c:pt idx="13">
                  <c:v>1</c:v>
                </c:pt>
                <c:pt idx="14">
                  <c:v>1</c:v>
                </c:pt>
                <c:pt idx="15">
                  <c:v>2</c:v>
                </c:pt>
                <c:pt idx="16">
                  <c:v>3</c:v>
                </c:pt>
                <c:pt idx="17">
                  <c:v>1</c:v>
                </c:pt>
                <c:pt idx="18">
                  <c:v>1</c:v>
                </c:pt>
                <c:pt idx="19">
                  <c:v>1</c:v>
                </c:pt>
                <c:pt idx="20">
                  <c:v>1</c:v>
                </c:pt>
                <c:pt idx="21">
                  <c:v>1</c:v>
                </c:pt>
                <c:pt idx="22">
                  <c:v>1</c:v>
                </c:pt>
                <c:pt idx="23">
                  <c:v>1</c:v>
                </c:pt>
                <c:pt idx="24">
                  <c:v>1</c:v>
                </c:pt>
                <c:pt idx="25">
                  <c:v>1</c:v>
                </c:pt>
                <c:pt idx="26">
                  <c:v>2</c:v>
                </c:pt>
                <c:pt idx="27">
                  <c:v>1</c:v>
                </c:pt>
                <c:pt idx="28">
                  <c:v>1</c:v>
                </c:pt>
                <c:pt idx="29">
                  <c:v>1</c:v>
                </c:pt>
                <c:pt idx="30">
                  <c:v>1</c:v>
                </c:pt>
                <c:pt idx="31">
                  <c:v>1</c:v>
                </c:pt>
                <c:pt idx="32">
                  <c:v>1</c:v>
                </c:pt>
                <c:pt idx="33">
                  <c:v>1</c:v>
                </c:pt>
                <c:pt idx="34">
                  <c:v>3</c:v>
                </c:pt>
                <c:pt idx="35">
                  <c:v>1</c:v>
                </c:pt>
                <c:pt idx="36">
                  <c:v>1</c:v>
                </c:pt>
                <c:pt idx="37">
                  <c:v>2</c:v>
                </c:pt>
                <c:pt idx="38">
                  <c:v>1</c:v>
                </c:pt>
              </c:numCache>
            </c:numRef>
          </c:val>
          <c:extLst>
            <c:ext xmlns:c16="http://schemas.microsoft.com/office/drawing/2014/chart" uri="{C3380CC4-5D6E-409C-BE32-E72D297353CC}">
              <c16:uniqueId val="{00000001-EFA2-4097-9F76-33544098F6AC}"/>
            </c:ext>
          </c:extLst>
        </c:ser>
        <c:dLbls>
          <c:showLegendKey val="0"/>
          <c:showVal val="0"/>
          <c:showCatName val="0"/>
          <c:showSerName val="0"/>
          <c:showPercent val="0"/>
          <c:showBubbleSize val="0"/>
        </c:dLbls>
        <c:gapWidth val="150"/>
        <c:shape val="box"/>
        <c:axId val="563732240"/>
        <c:axId val="563740880"/>
        <c:axId val="0"/>
      </c:bar3DChart>
      <c:catAx>
        <c:axId val="56373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40880"/>
        <c:crosses val="autoZero"/>
        <c:auto val="1"/>
        <c:lblAlgn val="ctr"/>
        <c:lblOffset val="100"/>
        <c:noMultiLvlLbl val="0"/>
      </c:catAx>
      <c:valAx>
        <c:axId val="563740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3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142875</xdr:colOff>
      <xdr:row>2</xdr:row>
      <xdr:rowOff>19050</xdr:rowOff>
    </xdr:from>
    <xdr:to>
      <xdr:col>8</xdr:col>
      <xdr:colOff>190500</xdr:colOff>
      <xdr:row>20</xdr:row>
      <xdr:rowOff>95250</xdr:rowOff>
    </xdr:to>
    <xdr:graphicFrame macro="">
      <xdr:nvGraphicFramePr>
        <xdr:cNvPr id="6" name="Chart 5">
          <a:extLst>
            <a:ext uri="{FF2B5EF4-FFF2-40B4-BE49-F238E27FC236}">
              <a16:creationId xmlns:a16="http://schemas.microsoft.com/office/drawing/2014/main" id="{C451BFBE-28A4-45EB-1241-2BC6C1063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257175</xdr:colOff>
      <xdr:row>2</xdr:row>
      <xdr:rowOff>14286</xdr:rowOff>
    </xdr:from>
    <xdr:to>
      <xdr:col>12</xdr:col>
      <xdr:colOff>828675</xdr:colOff>
      <xdr:row>20</xdr:row>
      <xdr:rowOff>95249</xdr:rowOff>
    </xdr:to>
    <xdr:graphicFrame macro="">
      <xdr:nvGraphicFramePr>
        <xdr:cNvPr id="7" name="Chart 6">
          <a:extLst>
            <a:ext uri="{FF2B5EF4-FFF2-40B4-BE49-F238E27FC236}">
              <a16:creationId xmlns:a16="http://schemas.microsoft.com/office/drawing/2014/main" id="{A357DC8D-182C-91A9-0023-03EDD033F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304800</xdr:colOff>
      <xdr:row>2</xdr:row>
      <xdr:rowOff>19050</xdr:rowOff>
    </xdr:from>
    <xdr:to>
      <xdr:col>6</xdr:col>
      <xdr:colOff>304800</xdr:colOff>
      <xdr:row>16</xdr:row>
      <xdr:rowOff>19050</xdr:rowOff>
    </xdr:to>
    <mc:AlternateContent xmlns:mc="http://schemas.openxmlformats.org/markup-compatibility/2006" xmlns:a14="http://schemas.microsoft.com/office/drawing/2010/main">
      <mc:Choice Requires="a14">
        <xdr:graphicFrame macro="">
          <xdr:nvGraphicFramePr>
            <xdr:cNvPr id="2" name="Employee Name">
              <a:extLst>
                <a:ext uri="{FF2B5EF4-FFF2-40B4-BE49-F238E27FC236}">
                  <a16:creationId xmlns:a16="http://schemas.microsoft.com/office/drawing/2014/main" id="{C870FCD4-6A4C-67E4-4A00-4FB273517BDF}"/>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3667125" y="400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2</xdr:row>
      <xdr:rowOff>9525</xdr:rowOff>
    </xdr:from>
    <xdr:to>
      <xdr:col>9</xdr:col>
      <xdr:colOff>400050</xdr:colOff>
      <xdr:row>16</xdr:row>
      <xdr:rowOff>9525</xdr:rowOff>
    </xdr:to>
    <mc:AlternateContent xmlns:mc="http://schemas.openxmlformats.org/markup-compatibility/2006" xmlns:a14="http://schemas.microsoft.com/office/drawing/2010/main">
      <mc:Choice Requires="a14">
        <xdr:graphicFrame macro="">
          <xdr:nvGraphicFramePr>
            <xdr:cNvPr id="3" name="Rate (Rs.)">
              <a:extLst>
                <a:ext uri="{FF2B5EF4-FFF2-40B4-BE49-F238E27FC236}">
                  <a16:creationId xmlns:a16="http://schemas.microsoft.com/office/drawing/2014/main" id="{3DFB26D3-CD17-680A-045B-D81B929BA0DC}"/>
                </a:ext>
              </a:extLst>
            </xdr:cNvPr>
            <xdr:cNvGraphicFramePr/>
          </xdr:nvGraphicFramePr>
          <xdr:xfrm>
            <a:off x="0" y="0"/>
            <a:ext cx="0" cy="0"/>
          </xdr:xfrm>
          <a:graphic>
            <a:graphicData uri="http://schemas.microsoft.com/office/drawing/2010/slicer">
              <sle:slicer xmlns:sle="http://schemas.microsoft.com/office/drawing/2010/slicer" name="Rate (Rs.)"/>
            </a:graphicData>
          </a:graphic>
        </xdr:graphicFrame>
      </mc:Choice>
      <mc:Fallback xmlns="">
        <xdr:sp macro="" textlink="">
          <xdr:nvSpPr>
            <xdr:cNvPr id="0" name=""/>
            <xdr:cNvSpPr>
              <a:spLocks noTextEdit="1"/>
            </xdr:cNvSpPr>
          </xdr:nvSpPr>
          <xdr:spPr>
            <a:xfrm>
              <a:off x="5591175"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2</xdr:row>
      <xdr:rowOff>19050</xdr:rowOff>
    </xdr:from>
    <xdr:to>
      <xdr:col>12</xdr:col>
      <xdr:colOff>428625</xdr:colOff>
      <xdr:row>16</xdr:row>
      <xdr:rowOff>19050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A245582C-3B72-A680-968F-A8D7127072D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448550" y="400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1</xdr:row>
      <xdr:rowOff>180975</xdr:rowOff>
    </xdr:from>
    <xdr:to>
      <xdr:col>15</xdr:col>
      <xdr:colOff>552450</xdr:colOff>
      <xdr:row>15</xdr:row>
      <xdr:rowOff>180975</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D43C8F65-D57F-6CCD-2FCA-7AEF5EDB3D8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9401175" y="371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5704.466326041664" createdVersion="8" refreshedVersion="8" minRefreshableVersion="3" recordCount="39" xr:uid="{CEFE4E67-A0C1-44B8-8F04-C88CC0E123BD}">
  <cacheSource type="worksheet">
    <worksheetSource ref="A1:E40" sheet="Create Pivot Tables"/>
  </cacheSource>
  <cacheFields count="5">
    <cacheField name="Employee Name" numFmtId="0">
      <sharedItems count="39">
        <s v="Amit Sharma"/>
        <s v="Raj Verma"/>
        <s v="Neha Gupta"/>
        <s v="Vikram Singh"/>
        <s v="Pooja Mehta"/>
        <s v="Sanjay Kumar"/>
        <s v="Riya Patel"/>
        <s v="Mohit Joshi"/>
        <s v="Sunil Yadav"/>
        <s v="Kiran Desai"/>
        <s v="Alok Tiwari"/>
        <s v="Sneha Reddy"/>
        <s v="Deepak Rawat"/>
        <s v="Priya Malhotra"/>
        <s v="Ankit Sinha"/>
        <s v="Rohit Bansal"/>
        <s v="Suman Rai"/>
        <s v="Gaurav Khanna"/>
        <s v="Snehal Kapoor"/>
        <s v="Tarun Mehta"/>
        <s v="Kavita Chawla"/>
        <s v="Nitin Saxena"/>
        <s v="Meena Dubey"/>
        <s v="Arjun Pillai"/>
        <s v="Bhavesh Thakur"/>
        <s v="Preeti Kaur"/>
        <s v="Suresh Menon"/>
        <s v="Jyoti Sharma"/>
        <s v="Karthik Reddy"/>
        <s v="Varsha Jain"/>
        <s v="Ravi Shankar"/>
        <s v="Swati Agarwal"/>
        <s v="Aditya Kapoor"/>
        <s v="Manish Pandey"/>
        <s v="Sheetal Rao"/>
        <s v="Yashwant Sinha"/>
        <s v="Divya Kulkarni"/>
        <s v="Harsh Chauhan"/>
        <s v="Pankaj Narang"/>
      </sharedItems>
    </cacheField>
    <cacheField name="Item" numFmtId="0">
      <sharedItems count="39">
        <s v="Keyboard"/>
        <s v="Mouse"/>
        <s v="Laptop Stand"/>
        <s v="Headphones"/>
        <s v="USB Hub"/>
        <s v="Monitor"/>
        <s v="External Hard Drive"/>
        <s v="Mouse Pad"/>
        <s v="Webcam"/>
        <s v="Laptop Charger"/>
        <s v="USB Cable"/>
        <s v="Wireless Mouse"/>
        <s v="Cooling Pad"/>
        <s v="Gaming Keyboard"/>
        <s v="RAM (8GB)"/>
        <s v="Pen Drive (64GB)"/>
        <s v="Power Bank"/>
        <s v="Laptop Bag"/>
        <s v="SSD (512GB)"/>
        <s v="Printer"/>
        <s v="Speaker"/>
        <s v="Wireless Keyboard"/>
        <s v="USB Flash Drive"/>
        <s v="HDMI Cable"/>
        <s v="Laptop Skin"/>
        <s v="Docking Station"/>
        <s v="Graphics Card (4GB)"/>
        <s v="Smartwatch"/>
        <s v="Bluetooth Adapter"/>
        <s v="Cooling Fan"/>
        <s v="Gaming Mouse"/>
        <s v="USB Type-C Cable"/>
        <s v="Docking Hub"/>
        <s v="Mechanical Keyboard"/>
        <s v="Wireless Earbuds"/>
        <s v="External SSD (1TB)"/>
        <s v="Ethernet Cable"/>
        <s v="VR Headset"/>
        <s v="Cooling Gel Pad"/>
      </sharedItems>
    </cacheField>
    <cacheField name="Quantity" numFmtId="0">
      <sharedItems containsSemiMixedTypes="0" containsString="0" containsNumber="1" containsInteger="1" minValue="1" maxValue="3" count="3">
        <n v="2"/>
        <n v="1"/>
        <n v="3"/>
      </sharedItems>
    </cacheField>
    <cacheField name="Rate (Rs.)" numFmtId="0">
      <sharedItems containsSemiMixedTypes="0" containsString="0" containsNumber="1" containsInteger="1" minValue="300" maxValue="25000"/>
    </cacheField>
    <cacheField name="Amount (Rs.)" numFmtId="3">
      <sharedItems containsSemiMixedTypes="0" containsString="0" containsNumber="1" containsInteger="1" minValue="600" maxValue="25000" count="26">
        <n v="2400"/>
        <n v="800"/>
        <n v="1500"/>
        <n v="5000"/>
        <n v="1000"/>
        <n v="12000"/>
        <n v="4500"/>
        <n v="900"/>
        <n v="3200"/>
        <n v="2500"/>
        <n v="1200"/>
        <n v="1800"/>
        <n v="3500"/>
        <n v="3000"/>
        <n v="2000"/>
        <n v="6000"/>
        <n v="15000"/>
        <n v="2200"/>
        <n v="600"/>
        <n v="7000"/>
        <n v="14000"/>
        <n v="8000"/>
        <n v="5500"/>
        <n v="11000"/>
        <n v="1400"/>
        <n v="25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5704.507034722221" createdVersion="8" refreshedVersion="8" minRefreshableVersion="3" recordCount="42" xr:uid="{6A94AD6B-9955-4A3A-AC55-22837A722001}">
  <cacheSource type="worksheet">
    <worksheetSource ref="A1:E1048576" sheet="Create Pivot Tables"/>
  </cacheSource>
  <cacheFields count="5">
    <cacheField name="Employee Name" numFmtId="0">
      <sharedItems containsBlank="1" count="40">
        <s v="Amit Sharma"/>
        <s v="Raj Verma"/>
        <s v="Neha Gupta"/>
        <s v="Vikram Singh"/>
        <s v="Pooja Mehta"/>
        <s v="Sanjay Kumar"/>
        <s v="Riya Patel"/>
        <s v="Mohit Joshi"/>
        <s v="Sunil Yadav"/>
        <s v="Kiran Desai"/>
        <s v="Alok Tiwari"/>
        <s v="Sneha Reddy"/>
        <s v="Deepak Rawat"/>
        <s v="Priya Malhotra"/>
        <s v="Ankit Sinha"/>
        <s v="Rohit Bansal"/>
        <s v="Suman Rai"/>
        <s v="Gaurav Khanna"/>
        <s v="Snehal Kapoor"/>
        <s v="Tarun Mehta"/>
        <s v="Kavita Chawla"/>
        <s v="Nitin Saxena"/>
        <s v="Meena Dubey"/>
        <s v="Arjun Pillai"/>
        <s v="Bhavesh Thakur"/>
        <s v="Preeti Kaur"/>
        <s v="Suresh Menon"/>
        <s v="Jyoti Sharma"/>
        <s v="Karthik Reddy"/>
        <s v="Varsha Jain"/>
        <s v="Ravi Shankar"/>
        <s v="Swati Agarwal"/>
        <s v="Aditya Kapoor"/>
        <s v="Manish Pandey"/>
        <s v="Sheetal Rao"/>
        <s v="Yashwant Sinha"/>
        <s v="Divya Kulkarni"/>
        <s v="Harsh Chauhan"/>
        <s v="Pankaj Narang"/>
        <m/>
      </sharedItems>
    </cacheField>
    <cacheField name="Item" numFmtId="0">
      <sharedItems containsBlank="1" count="40">
        <s v="Keyboard"/>
        <s v="Mouse"/>
        <s v="Laptop Stand"/>
        <s v="Headphones"/>
        <s v="USB Hub"/>
        <s v="Monitor"/>
        <s v="External Hard Drive"/>
        <s v="Mouse Pad"/>
        <s v="Webcam"/>
        <s v="Laptop Charger"/>
        <s v="USB Cable"/>
        <s v="Wireless Mouse"/>
        <s v="Cooling Pad"/>
        <s v="Gaming Keyboard"/>
        <s v="RAM (8GB)"/>
        <s v="Pen Drive (64GB)"/>
        <s v="Power Bank"/>
        <s v="Laptop Bag"/>
        <s v="SSD (512GB)"/>
        <s v="Printer"/>
        <s v="Speaker"/>
        <s v="Wireless Keyboard"/>
        <s v="USB Flash Drive"/>
        <s v="HDMI Cable"/>
        <s v="Laptop Skin"/>
        <s v="Docking Station"/>
        <s v="Graphics Card (4GB)"/>
        <s v="Smartwatch"/>
        <s v="Bluetooth Adapter"/>
        <s v="Cooling Fan"/>
        <s v="Gaming Mouse"/>
        <s v="USB Type-C Cable"/>
        <s v="Docking Hub"/>
        <s v="Mechanical Keyboard"/>
        <s v="Wireless Earbuds"/>
        <s v="External SSD (1TB)"/>
        <s v="Ethernet Cable"/>
        <s v="VR Headset"/>
        <s v="Cooling Gel Pad"/>
        <m/>
      </sharedItems>
    </cacheField>
    <cacheField name="Quantity" numFmtId="0">
      <sharedItems containsString="0" containsBlank="1" containsNumber="1" containsInteger="1" minValue="1" maxValue="3" count="4">
        <n v="2"/>
        <n v="1"/>
        <n v="3"/>
        <m/>
      </sharedItems>
    </cacheField>
    <cacheField name="Rate (Rs.)" numFmtId="0">
      <sharedItems containsString="0" containsBlank="1" containsNumber="1" containsInteger="1" minValue="300" maxValue="25000" count="30">
        <n v="1200"/>
        <n v="800"/>
        <n v="1500"/>
        <n v="2500"/>
        <n v="1000"/>
        <n v="12000"/>
        <n v="4500"/>
        <n v="300"/>
        <n v="3200"/>
        <n v="500"/>
        <n v="1800"/>
        <n v="3500"/>
        <n v="900"/>
        <n v="3000"/>
        <n v="2000"/>
        <n v="6000"/>
        <n v="15000"/>
        <n v="2200"/>
        <n v="750"/>
        <n v="400"/>
        <n v="600"/>
        <n v="7000"/>
        <n v="14000"/>
        <n v="8000"/>
        <n v="5500"/>
        <n v="5000"/>
        <n v="11000"/>
        <n v="700"/>
        <n v="25000"/>
        <m/>
      </sharedItems>
    </cacheField>
    <cacheField name="Amount (Rs.)" numFmtId="0">
      <sharedItems containsString="0" containsBlank="1" containsNumber="1" containsInteger="1" minValue="600" maxValue="25000"/>
    </cacheField>
  </cacheFields>
  <extLst>
    <ext xmlns:x14="http://schemas.microsoft.com/office/spreadsheetml/2009/9/main" uri="{725AE2AE-9491-48be-B2B4-4EB974FC3084}">
      <x14:pivotCacheDefinition pivotCacheId="1147002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n v="1200"/>
    <x v="0"/>
  </r>
  <r>
    <x v="1"/>
    <x v="1"/>
    <x v="1"/>
    <n v="800"/>
    <x v="1"/>
  </r>
  <r>
    <x v="2"/>
    <x v="2"/>
    <x v="1"/>
    <n v="1500"/>
    <x v="2"/>
  </r>
  <r>
    <x v="3"/>
    <x v="3"/>
    <x v="0"/>
    <n v="2500"/>
    <x v="3"/>
  </r>
  <r>
    <x v="4"/>
    <x v="4"/>
    <x v="1"/>
    <n v="1000"/>
    <x v="4"/>
  </r>
  <r>
    <x v="5"/>
    <x v="5"/>
    <x v="1"/>
    <n v="12000"/>
    <x v="5"/>
  </r>
  <r>
    <x v="6"/>
    <x v="6"/>
    <x v="1"/>
    <n v="4500"/>
    <x v="6"/>
  </r>
  <r>
    <x v="7"/>
    <x v="7"/>
    <x v="2"/>
    <n v="300"/>
    <x v="7"/>
  </r>
  <r>
    <x v="8"/>
    <x v="8"/>
    <x v="1"/>
    <n v="3200"/>
    <x v="8"/>
  </r>
  <r>
    <x v="9"/>
    <x v="9"/>
    <x v="1"/>
    <n v="2500"/>
    <x v="9"/>
  </r>
  <r>
    <x v="10"/>
    <x v="10"/>
    <x v="0"/>
    <n v="500"/>
    <x v="4"/>
  </r>
  <r>
    <x v="11"/>
    <x v="11"/>
    <x v="1"/>
    <n v="1200"/>
    <x v="10"/>
  </r>
  <r>
    <x v="12"/>
    <x v="12"/>
    <x v="1"/>
    <n v="1800"/>
    <x v="11"/>
  </r>
  <r>
    <x v="13"/>
    <x v="13"/>
    <x v="1"/>
    <n v="4500"/>
    <x v="6"/>
  </r>
  <r>
    <x v="14"/>
    <x v="14"/>
    <x v="1"/>
    <n v="3500"/>
    <x v="12"/>
  </r>
  <r>
    <x v="15"/>
    <x v="15"/>
    <x v="0"/>
    <n v="900"/>
    <x v="11"/>
  </r>
  <r>
    <x v="16"/>
    <x v="16"/>
    <x v="1"/>
    <n v="3000"/>
    <x v="13"/>
  </r>
  <r>
    <x v="17"/>
    <x v="17"/>
    <x v="1"/>
    <n v="2000"/>
    <x v="14"/>
  </r>
  <r>
    <x v="18"/>
    <x v="18"/>
    <x v="1"/>
    <n v="6000"/>
    <x v="15"/>
  </r>
  <r>
    <x v="19"/>
    <x v="19"/>
    <x v="1"/>
    <n v="15000"/>
    <x v="16"/>
  </r>
  <r>
    <x v="20"/>
    <x v="20"/>
    <x v="1"/>
    <n v="3500"/>
    <x v="12"/>
  </r>
  <r>
    <x v="21"/>
    <x v="21"/>
    <x v="1"/>
    <n v="2200"/>
    <x v="17"/>
  </r>
  <r>
    <x v="22"/>
    <x v="22"/>
    <x v="0"/>
    <n v="750"/>
    <x v="2"/>
  </r>
  <r>
    <x v="23"/>
    <x v="23"/>
    <x v="2"/>
    <n v="400"/>
    <x v="10"/>
  </r>
  <r>
    <x v="24"/>
    <x v="24"/>
    <x v="1"/>
    <n v="600"/>
    <x v="18"/>
  </r>
  <r>
    <x v="25"/>
    <x v="25"/>
    <x v="1"/>
    <n v="7000"/>
    <x v="19"/>
  </r>
  <r>
    <x v="26"/>
    <x v="26"/>
    <x v="1"/>
    <n v="14000"/>
    <x v="20"/>
  </r>
  <r>
    <x v="27"/>
    <x v="27"/>
    <x v="1"/>
    <n v="8000"/>
    <x v="21"/>
  </r>
  <r>
    <x v="28"/>
    <x v="28"/>
    <x v="0"/>
    <n v="1200"/>
    <x v="0"/>
  </r>
  <r>
    <x v="29"/>
    <x v="29"/>
    <x v="1"/>
    <n v="1800"/>
    <x v="11"/>
  </r>
  <r>
    <x v="30"/>
    <x v="30"/>
    <x v="1"/>
    <n v="3000"/>
    <x v="13"/>
  </r>
  <r>
    <x v="31"/>
    <x v="31"/>
    <x v="2"/>
    <n v="600"/>
    <x v="11"/>
  </r>
  <r>
    <x v="32"/>
    <x v="32"/>
    <x v="1"/>
    <n v="5500"/>
    <x v="22"/>
  </r>
  <r>
    <x v="33"/>
    <x v="33"/>
    <x v="1"/>
    <n v="5000"/>
    <x v="3"/>
  </r>
  <r>
    <x v="34"/>
    <x v="34"/>
    <x v="1"/>
    <n v="4500"/>
    <x v="6"/>
  </r>
  <r>
    <x v="35"/>
    <x v="35"/>
    <x v="1"/>
    <n v="11000"/>
    <x v="23"/>
  </r>
  <r>
    <x v="36"/>
    <x v="36"/>
    <x v="0"/>
    <n v="700"/>
    <x v="24"/>
  </r>
  <r>
    <x v="37"/>
    <x v="37"/>
    <x v="1"/>
    <n v="25000"/>
    <x v="25"/>
  </r>
  <r>
    <x v="38"/>
    <x v="38"/>
    <x v="1"/>
    <n v="900"/>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x v="0"/>
    <x v="0"/>
    <n v="2400"/>
  </r>
  <r>
    <x v="1"/>
    <x v="1"/>
    <x v="1"/>
    <x v="1"/>
    <n v="800"/>
  </r>
  <r>
    <x v="2"/>
    <x v="2"/>
    <x v="1"/>
    <x v="2"/>
    <n v="1500"/>
  </r>
  <r>
    <x v="3"/>
    <x v="3"/>
    <x v="0"/>
    <x v="3"/>
    <n v="5000"/>
  </r>
  <r>
    <x v="4"/>
    <x v="4"/>
    <x v="1"/>
    <x v="4"/>
    <n v="1000"/>
  </r>
  <r>
    <x v="5"/>
    <x v="5"/>
    <x v="1"/>
    <x v="5"/>
    <n v="12000"/>
  </r>
  <r>
    <x v="6"/>
    <x v="6"/>
    <x v="1"/>
    <x v="6"/>
    <n v="4500"/>
  </r>
  <r>
    <x v="7"/>
    <x v="7"/>
    <x v="2"/>
    <x v="7"/>
    <n v="900"/>
  </r>
  <r>
    <x v="8"/>
    <x v="8"/>
    <x v="1"/>
    <x v="8"/>
    <n v="3200"/>
  </r>
  <r>
    <x v="9"/>
    <x v="9"/>
    <x v="1"/>
    <x v="3"/>
    <n v="2500"/>
  </r>
  <r>
    <x v="10"/>
    <x v="10"/>
    <x v="0"/>
    <x v="9"/>
    <n v="1000"/>
  </r>
  <r>
    <x v="11"/>
    <x v="11"/>
    <x v="1"/>
    <x v="0"/>
    <n v="1200"/>
  </r>
  <r>
    <x v="12"/>
    <x v="12"/>
    <x v="1"/>
    <x v="10"/>
    <n v="1800"/>
  </r>
  <r>
    <x v="13"/>
    <x v="13"/>
    <x v="1"/>
    <x v="6"/>
    <n v="4500"/>
  </r>
  <r>
    <x v="14"/>
    <x v="14"/>
    <x v="1"/>
    <x v="11"/>
    <n v="3500"/>
  </r>
  <r>
    <x v="15"/>
    <x v="15"/>
    <x v="0"/>
    <x v="12"/>
    <n v="1800"/>
  </r>
  <r>
    <x v="16"/>
    <x v="16"/>
    <x v="1"/>
    <x v="13"/>
    <n v="3000"/>
  </r>
  <r>
    <x v="17"/>
    <x v="17"/>
    <x v="1"/>
    <x v="14"/>
    <n v="2000"/>
  </r>
  <r>
    <x v="18"/>
    <x v="18"/>
    <x v="1"/>
    <x v="15"/>
    <n v="6000"/>
  </r>
  <r>
    <x v="19"/>
    <x v="19"/>
    <x v="1"/>
    <x v="16"/>
    <n v="15000"/>
  </r>
  <r>
    <x v="20"/>
    <x v="20"/>
    <x v="1"/>
    <x v="11"/>
    <n v="3500"/>
  </r>
  <r>
    <x v="21"/>
    <x v="21"/>
    <x v="1"/>
    <x v="17"/>
    <n v="2200"/>
  </r>
  <r>
    <x v="22"/>
    <x v="22"/>
    <x v="0"/>
    <x v="18"/>
    <n v="1500"/>
  </r>
  <r>
    <x v="23"/>
    <x v="23"/>
    <x v="2"/>
    <x v="19"/>
    <n v="1200"/>
  </r>
  <r>
    <x v="24"/>
    <x v="24"/>
    <x v="1"/>
    <x v="20"/>
    <n v="600"/>
  </r>
  <r>
    <x v="25"/>
    <x v="25"/>
    <x v="1"/>
    <x v="21"/>
    <n v="7000"/>
  </r>
  <r>
    <x v="26"/>
    <x v="26"/>
    <x v="1"/>
    <x v="22"/>
    <n v="14000"/>
  </r>
  <r>
    <x v="27"/>
    <x v="27"/>
    <x v="1"/>
    <x v="23"/>
    <n v="8000"/>
  </r>
  <r>
    <x v="28"/>
    <x v="28"/>
    <x v="0"/>
    <x v="0"/>
    <n v="2400"/>
  </r>
  <r>
    <x v="29"/>
    <x v="29"/>
    <x v="1"/>
    <x v="10"/>
    <n v="1800"/>
  </r>
  <r>
    <x v="30"/>
    <x v="30"/>
    <x v="1"/>
    <x v="13"/>
    <n v="3000"/>
  </r>
  <r>
    <x v="31"/>
    <x v="31"/>
    <x v="2"/>
    <x v="20"/>
    <n v="1800"/>
  </r>
  <r>
    <x v="32"/>
    <x v="32"/>
    <x v="1"/>
    <x v="24"/>
    <n v="5500"/>
  </r>
  <r>
    <x v="33"/>
    <x v="33"/>
    <x v="1"/>
    <x v="25"/>
    <n v="5000"/>
  </r>
  <r>
    <x v="34"/>
    <x v="34"/>
    <x v="1"/>
    <x v="6"/>
    <n v="4500"/>
  </r>
  <r>
    <x v="35"/>
    <x v="35"/>
    <x v="1"/>
    <x v="26"/>
    <n v="11000"/>
  </r>
  <r>
    <x v="36"/>
    <x v="36"/>
    <x v="0"/>
    <x v="27"/>
    <n v="1400"/>
  </r>
  <r>
    <x v="37"/>
    <x v="37"/>
    <x v="1"/>
    <x v="28"/>
    <n v="25000"/>
  </r>
  <r>
    <x v="38"/>
    <x v="38"/>
    <x v="1"/>
    <x v="12"/>
    <n v="900"/>
  </r>
  <r>
    <x v="39"/>
    <x v="39"/>
    <x v="3"/>
    <x v="29"/>
    <m/>
  </r>
  <r>
    <x v="39"/>
    <x v="39"/>
    <x v="3"/>
    <x v="29"/>
    <m/>
  </r>
  <r>
    <x v="39"/>
    <x v="39"/>
    <x v="3"/>
    <x v="2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FEB44-3650-4A1D-BE18-BDC9273DC17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C43" firstHeaderRow="0" firstDataRow="1" firstDataCol="1" rowPageCount="1" colPageCount="1"/>
  <pivotFields count="5">
    <pivotField axis="axisRow" compact="0" outline="0" showAll="0">
      <items count="40">
        <item x="32"/>
        <item x="10"/>
        <item x="0"/>
        <item x="14"/>
        <item x="23"/>
        <item x="24"/>
        <item x="12"/>
        <item x="36"/>
        <item x="17"/>
        <item x="37"/>
        <item x="27"/>
        <item x="28"/>
        <item x="20"/>
        <item x="9"/>
        <item x="33"/>
        <item x="22"/>
        <item x="7"/>
        <item x="2"/>
        <item x="21"/>
        <item x="38"/>
        <item x="4"/>
        <item x="25"/>
        <item x="13"/>
        <item x="1"/>
        <item x="30"/>
        <item x="6"/>
        <item x="15"/>
        <item x="5"/>
        <item x="34"/>
        <item x="11"/>
        <item x="18"/>
        <item x="16"/>
        <item x="8"/>
        <item x="26"/>
        <item x="31"/>
        <item x="19"/>
        <item x="29"/>
        <item x="3"/>
        <item x="35"/>
        <item t="default"/>
      </items>
    </pivotField>
    <pivotField axis="axisPage" compact="0" outline="0" showAll="0">
      <items count="40">
        <item x="28"/>
        <item x="29"/>
        <item x="38"/>
        <item x="12"/>
        <item x="32"/>
        <item x="25"/>
        <item x="36"/>
        <item x="6"/>
        <item x="35"/>
        <item x="13"/>
        <item x="30"/>
        <item x="26"/>
        <item x="23"/>
        <item x="3"/>
        <item x="0"/>
        <item x="17"/>
        <item x="9"/>
        <item x="24"/>
        <item x="2"/>
        <item x="33"/>
        <item x="5"/>
        <item x="1"/>
        <item x="7"/>
        <item x="15"/>
        <item x="16"/>
        <item x="19"/>
        <item x="14"/>
        <item x="27"/>
        <item x="20"/>
        <item x="18"/>
        <item x="10"/>
        <item x="22"/>
        <item x="4"/>
        <item x="31"/>
        <item x="37"/>
        <item x="8"/>
        <item x="34"/>
        <item x="21"/>
        <item x="11"/>
        <item t="default"/>
      </items>
    </pivotField>
    <pivotField dataField="1" compact="0" outline="0" showAll="0">
      <items count="4">
        <item x="1"/>
        <item x="0"/>
        <item x="2"/>
        <item t="default"/>
      </items>
    </pivotField>
    <pivotField compact="0" outline="0" showAll="0"/>
    <pivotField dataField="1" compact="0" numFmtId="3" outline="0" showAll="0">
      <items count="27">
        <item x="18"/>
        <item x="1"/>
        <item x="7"/>
        <item x="4"/>
        <item x="10"/>
        <item x="24"/>
        <item x="2"/>
        <item x="11"/>
        <item x="14"/>
        <item x="17"/>
        <item x="0"/>
        <item x="9"/>
        <item x="13"/>
        <item x="8"/>
        <item x="12"/>
        <item x="6"/>
        <item x="3"/>
        <item x="22"/>
        <item x="15"/>
        <item x="19"/>
        <item x="21"/>
        <item x="23"/>
        <item x="5"/>
        <item x="20"/>
        <item x="16"/>
        <item x="25"/>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pageFields count="1">
    <pageField fld="1" hier="-1"/>
  </pageFields>
  <dataFields count="2">
    <dataField name="Sum of Amount (Rs.)" fld="4" baseField="0" baseItem="0" numFmtId="3"/>
    <dataField name="Sum of Quantity" fld="2" baseField="0" baseItem="0"/>
  </dataFields>
  <chartFormats count="82">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0"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7" format="4">
      <pivotArea type="data" outline="0" fieldPosition="0">
        <references count="2">
          <reference field="4294967294" count="1" selected="0">
            <x v="0"/>
          </reference>
          <reference field="0" count="1" selected="0">
            <x v="2"/>
          </reference>
        </references>
      </pivotArea>
    </chartFormat>
    <chartFormat chart="27" format="5">
      <pivotArea type="data" outline="0" fieldPosition="0">
        <references count="2">
          <reference field="4294967294" count="1" selected="0">
            <x v="0"/>
          </reference>
          <reference field="0" count="1" selected="0">
            <x v="3"/>
          </reference>
        </references>
      </pivotArea>
    </chartFormat>
    <chartFormat chart="27" format="6">
      <pivotArea type="data" outline="0" fieldPosition="0">
        <references count="2">
          <reference field="4294967294" count="1" selected="0">
            <x v="0"/>
          </reference>
          <reference field="0" count="1" selected="0">
            <x v="4"/>
          </reference>
        </references>
      </pivotArea>
    </chartFormat>
    <chartFormat chart="27" format="7">
      <pivotArea type="data" outline="0" fieldPosition="0">
        <references count="2">
          <reference field="4294967294" count="1" selected="0">
            <x v="0"/>
          </reference>
          <reference field="0" count="1" selected="0">
            <x v="5"/>
          </reference>
        </references>
      </pivotArea>
    </chartFormat>
    <chartFormat chart="27" format="8">
      <pivotArea type="data" outline="0" fieldPosition="0">
        <references count="2">
          <reference field="4294967294" count="1" selected="0">
            <x v="0"/>
          </reference>
          <reference field="0" count="1" selected="0">
            <x v="6"/>
          </reference>
        </references>
      </pivotArea>
    </chartFormat>
    <chartFormat chart="27" format="9">
      <pivotArea type="data" outline="0" fieldPosition="0">
        <references count="2">
          <reference field="4294967294" count="1" selected="0">
            <x v="0"/>
          </reference>
          <reference field="0" count="1" selected="0">
            <x v="7"/>
          </reference>
        </references>
      </pivotArea>
    </chartFormat>
    <chartFormat chart="27" format="10">
      <pivotArea type="data" outline="0" fieldPosition="0">
        <references count="2">
          <reference field="4294967294" count="1" selected="0">
            <x v="0"/>
          </reference>
          <reference field="0" count="1" selected="0">
            <x v="8"/>
          </reference>
        </references>
      </pivotArea>
    </chartFormat>
    <chartFormat chart="27" format="11">
      <pivotArea type="data" outline="0" fieldPosition="0">
        <references count="2">
          <reference field="4294967294" count="1" selected="0">
            <x v="0"/>
          </reference>
          <reference field="0" count="1" selected="0">
            <x v="9"/>
          </reference>
        </references>
      </pivotArea>
    </chartFormat>
    <chartFormat chart="27" format="12">
      <pivotArea type="data" outline="0" fieldPosition="0">
        <references count="2">
          <reference field="4294967294" count="1" selected="0">
            <x v="0"/>
          </reference>
          <reference field="0" count="1" selected="0">
            <x v="10"/>
          </reference>
        </references>
      </pivotArea>
    </chartFormat>
    <chartFormat chart="27" format="13">
      <pivotArea type="data" outline="0" fieldPosition="0">
        <references count="2">
          <reference field="4294967294" count="1" selected="0">
            <x v="0"/>
          </reference>
          <reference field="0" count="1" selected="0">
            <x v="11"/>
          </reference>
        </references>
      </pivotArea>
    </chartFormat>
    <chartFormat chart="27" format="14">
      <pivotArea type="data" outline="0" fieldPosition="0">
        <references count="2">
          <reference field="4294967294" count="1" selected="0">
            <x v="0"/>
          </reference>
          <reference field="0" count="1" selected="0">
            <x v="12"/>
          </reference>
        </references>
      </pivotArea>
    </chartFormat>
    <chartFormat chart="27" format="15">
      <pivotArea type="data" outline="0" fieldPosition="0">
        <references count="2">
          <reference field="4294967294" count="1" selected="0">
            <x v="0"/>
          </reference>
          <reference field="0" count="1" selected="0">
            <x v="13"/>
          </reference>
        </references>
      </pivotArea>
    </chartFormat>
    <chartFormat chart="27" format="16">
      <pivotArea type="data" outline="0" fieldPosition="0">
        <references count="2">
          <reference field="4294967294" count="1" selected="0">
            <x v="0"/>
          </reference>
          <reference field="0" count="1" selected="0">
            <x v="14"/>
          </reference>
        </references>
      </pivotArea>
    </chartFormat>
    <chartFormat chart="27" format="17">
      <pivotArea type="data" outline="0" fieldPosition="0">
        <references count="2">
          <reference field="4294967294" count="1" selected="0">
            <x v="0"/>
          </reference>
          <reference field="0" count="1" selected="0">
            <x v="15"/>
          </reference>
        </references>
      </pivotArea>
    </chartFormat>
    <chartFormat chart="27" format="18">
      <pivotArea type="data" outline="0" fieldPosition="0">
        <references count="2">
          <reference field="4294967294" count="1" selected="0">
            <x v="0"/>
          </reference>
          <reference field="0" count="1" selected="0">
            <x v="16"/>
          </reference>
        </references>
      </pivotArea>
    </chartFormat>
    <chartFormat chart="27" format="19">
      <pivotArea type="data" outline="0" fieldPosition="0">
        <references count="2">
          <reference field="4294967294" count="1" selected="0">
            <x v="0"/>
          </reference>
          <reference field="0" count="1" selected="0">
            <x v="17"/>
          </reference>
        </references>
      </pivotArea>
    </chartFormat>
    <chartFormat chart="27" format="20">
      <pivotArea type="data" outline="0" fieldPosition="0">
        <references count="2">
          <reference field="4294967294" count="1" selected="0">
            <x v="0"/>
          </reference>
          <reference field="0" count="1" selected="0">
            <x v="18"/>
          </reference>
        </references>
      </pivotArea>
    </chartFormat>
    <chartFormat chart="27" format="21">
      <pivotArea type="data" outline="0" fieldPosition="0">
        <references count="2">
          <reference field="4294967294" count="1" selected="0">
            <x v="0"/>
          </reference>
          <reference field="0" count="1" selected="0">
            <x v="19"/>
          </reference>
        </references>
      </pivotArea>
    </chartFormat>
    <chartFormat chart="27" format="22">
      <pivotArea type="data" outline="0" fieldPosition="0">
        <references count="2">
          <reference field="4294967294" count="1" selected="0">
            <x v="0"/>
          </reference>
          <reference field="0" count="1" selected="0">
            <x v="20"/>
          </reference>
        </references>
      </pivotArea>
    </chartFormat>
    <chartFormat chart="27" format="23">
      <pivotArea type="data" outline="0" fieldPosition="0">
        <references count="2">
          <reference field="4294967294" count="1" selected="0">
            <x v="0"/>
          </reference>
          <reference field="0" count="1" selected="0">
            <x v="21"/>
          </reference>
        </references>
      </pivotArea>
    </chartFormat>
    <chartFormat chart="27" format="24">
      <pivotArea type="data" outline="0" fieldPosition="0">
        <references count="2">
          <reference field="4294967294" count="1" selected="0">
            <x v="0"/>
          </reference>
          <reference field="0" count="1" selected="0">
            <x v="22"/>
          </reference>
        </references>
      </pivotArea>
    </chartFormat>
    <chartFormat chart="27" format="25">
      <pivotArea type="data" outline="0" fieldPosition="0">
        <references count="2">
          <reference field="4294967294" count="1" selected="0">
            <x v="0"/>
          </reference>
          <reference field="0" count="1" selected="0">
            <x v="23"/>
          </reference>
        </references>
      </pivotArea>
    </chartFormat>
    <chartFormat chart="27" format="26">
      <pivotArea type="data" outline="0" fieldPosition="0">
        <references count="2">
          <reference field="4294967294" count="1" selected="0">
            <x v="0"/>
          </reference>
          <reference field="0" count="1" selected="0">
            <x v="24"/>
          </reference>
        </references>
      </pivotArea>
    </chartFormat>
    <chartFormat chart="27" format="27">
      <pivotArea type="data" outline="0" fieldPosition="0">
        <references count="2">
          <reference field="4294967294" count="1" selected="0">
            <x v="0"/>
          </reference>
          <reference field="0" count="1" selected="0">
            <x v="25"/>
          </reference>
        </references>
      </pivotArea>
    </chartFormat>
    <chartFormat chart="27" format="28">
      <pivotArea type="data" outline="0" fieldPosition="0">
        <references count="2">
          <reference field="4294967294" count="1" selected="0">
            <x v="0"/>
          </reference>
          <reference field="0" count="1" selected="0">
            <x v="26"/>
          </reference>
        </references>
      </pivotArea>
    </chartFormat>
    <chartFormat chart="27" format="29">
      <pivotArea type="data" outline="0" fieldPosition="0">
        <references count="2">
          <reference field="4294967294" count="1" selected="0">
            <x v="0"/>
          </reference>
          <reference field="0" count="1" selected="0">
            <x v="27"/>
          </reference>
        </references>
      </pivotArea>
    </chartFormat>
    <chartFormat chart="27" format="30">
      <pivotArea type="data" outline="0" fieldPosition="0">
        <references count="2">
          <reference field="4294967294" count="1" selected="0">
            <x v="0"/>
          </reference>
          <reference field="0" count="1" selected="0">
            <x v="28"/>
          </reference>
        </references>
      </pivotArea>
    </chartFormat>
    <chartFormat chart="27" format="31">
      <pivotArea type="data" outline="0" fieldPosition="0">
        <references count="2">
          <reference field="4294967294" count="1" selected="0">
            <x v="0"/>
          </reference>
          <reference field="0" count="1" selected="0">
            <x v="29"/>
          </reference>
        </references>
      </pivotArea>
    </chartFormat>
    <chartFormat chart="27" format="32">
      <pivotArea type="data" outline="0" fieldPosition="0">
        <references count="2">
          <reference field="4294967294" count="1" selected="0">
            <x v="0"/>
          </reference>
          <reference field="0" count="1" selected="0">
            <x v="30"/>
          </reference>
        </references>
      </pivotArea>
    </chartFormat>
    <chartFormat chart="27" format="33">
      <pivotArea type="data" outline="0" fieldPosition="0">
        <references count="2">
          <reference field="4294967294" count="1" selected="0">
            <x v="0"/>
          </reference>
          <reference field="0" count="1" selected="0">
            <x v="31"/>
          </reference>
        </references>
      </pivotArea>
    </chartFormat>
    <chartFormat chart="27" format="34">
      <pivotArea type="data" outline="0" fieldPosition="0">
        <references count="2">
          <reference field="4294967294" count="1" selected="0">
            <x v="0"/>
          </reference>
          <reference field="0" count="1" selected="0">
            <x v="32"/>
          </reference>
        </references>
      </pivotArea>
    </chartFormat>
    <chartFormat chart="27" format="35">
      <pivotArea type="data" outline="0" fieldPosition="0">
        <references count="2">
          <reference field="4294967294" count="1" selected="0">
            <x v="0"/>
          </reference>
          <reference field="0" count="1" selected="0">
            <x v="33"/>
          </reference>
        </references>
      </pivotArea>
    </chartFormat>
    <chartFormat chart="27" format="36">
      <pivotArea type="data" outline="0" fieldPosition="0">
        <references count="2">
          <reference field="4294967294" count="1" selected="0">
            <x v="0"/>
          </reference>
          <reference field="0" count="1" selected="0">
            <x v="34"/>
          </reference>
        </references>
      </pivotArea>
    </chartFormat>
    <chartFormat chart="27" format="37">
      <pivotArea type="data" outline="0" fieldPosition="0">
        <references count="2">
          <reference field="4294967294" count="1" selected="0">
            <x v="0"/>
          </reference>
          <reference field="0" count="1" selected="0">
            <x v="35"/>
          </reference>
        </references>
      </pivotArea>
    </chartFormat>
    <chartFormat chart="27" format="38">
      <pivotArea type="data" outline="0" fieldPosition="0">
        <references count="2">
          <reference field="4294967294" count="1" selected="0">
            <x v="0"/>
          </reference>
          <reference field="0" count="1" selected="0">
            <x v="36"/>
          </reference>
        </references>
      </pivotArea>
    </chartFormat>
    <chartFormat chart="27" format="39">
      <pivotArea type="data" outline="0" fieldPosition="0">
        <references count="2">
          <reference field="4294967294" count="1" selected="0">
            <x v="0"/>
          </reference>
          <reference field="0" count="1" selected="0">
            <x v="37"/>
          </reference>
        </references>
      </pivotArea>
    </chartFormat>
    <chartFormat chart="27" format="40">
      <pivotArea type="data" outline="0" fieldPosition="0">
        <references count="2">
          <reference field="4294967294" count="1" selected="0">
            <x v="0"/>
          </reference>
          <reference field="0" count="1" selected="0">
            <x v="38"/>
          </reference>
        </references>
      </pivotArea>
    </chartFormat>
    <chartFormat chart="27" format="41">
      <pivotArea type="data" outline="0" fieldPosition="0">
        <references count="2">
          <reference field="4294967294" count="1" selected="0">
            <x v="1"/>
          </reference>
          <reference field="0" count="1" selected="0">
            <x v="0"/>
          </reference>
        </references>
      </pivotArea>
    </chartFormat>
    <chartFormat chart="27" format="42">
      <pivotArea type="data" outline="0" fieldPosition="0">
        <references count="2">
          <reference field="4294967294" count="1" selected="0">
            <x v="1"/>
          </reference>
          <reference field="0" count="1" selected="0">
            <x v="1"/>
          </reference>
        </references>
      </pivotArea>
    </chartFormat>
    <chartFormat chart="27" format="43">
      <pivotArea type="data" outline="0" fieldPosition="0">
        <references count="2">
          <reference field="4294967294" count="1" selected="0">
            <x v="1"/>
          </reference>
          <reference field="0" count="1" selected="0">
            <x v="2"/>
          </reference>
        </references>
      </pivotArea>
    </chartFormat>
    <chartFormat chart="27" format="44">
      <pivotArea type="data" outline="0" fieldPosition="0">
        <references count="2">
          <reference field="4294967294" count="1" selected="0">
            <x v="1"/>
          </reference>
          <reference field="0" count="1" selected="0">
            <x v="3"/>
          </reference>
        </references>
      </pivotArea>
    </chartFormat>
    <chartFormat chart="27" format="45">
      <pivotArea type="data" outline="0" fieldPosition="0">
        <references count="2">
          <reference field="4294967294" count="1" selected="0">
            <x v="1"/>
          </reference>
          <reference field="0" count="1" selected="0">
            <x v="4"/>
          </reference>
        </references>
      </pivotArea>
    </chartFormat>
    <chartFormat chart="27" format="46">
      <pivotArea type="data" outline="0" fieldPosition="0">
        <references count="2">
          <reference field="4294967294" count="1" selected="0">
            <x v="1"/>
          </reference>
          <reference field="0" count="1" selected="0">
            <x v="5"/>
          </reference>
        </references>
      </pivotArea>
    </chartFormat>
    <chartFormat chart="27" format="47">
      <pivotArea type="data" outline="0" fieldPosition="0">
        <references count="2">
          <reference field="4294967294" count="1" selected="0">
            <x v="1"/>
          </reference>
          <reference field="0" count="1" selected="0">
            <x v="6"/>
          </reference>
        </references>
      </pivotArea>
    </chartFormat>
    <chartFormat chart="27" format="48">
      <pivotArea type="data" outline="0" fieldPosition="0">
        <references count="2">
          <reference field="4294967294" count="1" selected="0">
            <x v="1"/>
          </reference>
          <reference field="0" count="1" selected="0">
            <x v="7"/>
          </reference>
        </references>
      </pivotArea>
    </chartFormat>
    <chartFormat chart="27" format="49">
      <pivotArea type="data" outline="0" fieldPosition="0">
        <references count="2">
          <reference field="4294967294" count="1" selected="0">
            <x v="1"/>
          </reference>
          <reference field="0" count="1" selected="0">
            <x v="8"/>
          </reference>
        </references>
      </pivotArea>
    </chartFormat>
    <chartFormat chart="27" format="50">
      <pivotArea type="data" outline="0" fieldPosition="0">
        <references count="2">
          <reference field="4294967294" count="1" selected="0">
            <x v="1"/>
          </reference>
          <reference field="0" count="1" selected="0">
            <x v="9"/>
          </reference>
        </references>
      </pivotArea>
    </chartFormat>
    <chartFormat chart="27" format="51">
      <pivotArea type="data" outline="0" fieldPosition="0">
        <references count="2">
          <reference field="4294967294" count="1" selected="0">
            <x v="1"/>
          </reference>
          <reference field="0" count="1" selected="0">
            <x v="10"/>
          </reference>
        </references>
      </pivotArea>
    </chartFormat>
    <chartFormat chart="27" format="52">
      <pivotArea type="data" outline="0" fieldPosition="0">
        <references count="2">
          <reference field="4294967294" count="1" selected="0">
            <x v="1"/>
          </reference>
          <reference field="0" count="1" selected="0">
            <x v="11"/>
          </reference>
        </references>
      </pivotArea>
    </chartFormat>
    <chartFormat chart="27" format="53">
      <pivotArea type="data" outline="0" fieldPosition="0">
        <references count="2">
          <reference field="4294967294" count="1" selected="0">
            <x v="1"/>
          </reference>
          <reference field="0" count="1" selected="0">
            <x v="12"/>
          </reference>
        </references>
      </pivotArea>
    </chartFormat>
    <chartFormat chart="27" format="54">
      <pivotArea type="data" outline="0" fieldPosition="0">
        <references count="2">
          <reference field="4294967294" count="1" selected="0">
            <x v="1"/>
          </reference>
          <reference field="0" count="1" selected="0">
            <x v="13"/>
          </reference>
        </references>
      </pivotArea>
    </chartFormat>
    <chartFormat chart="27" format="55">
      <pivotArea type="data" outline="0" fieldPosition="0">
        <references count="2">
          <reference field="4294967294" count="1" selected="0">
            <x v="1"/>
          </reference>
          <reference field="0" count="1" selected="0">
            <x v="14"/>
          </reference>
        </references>
      </pivotArea>
    </chartFormat>
    <chartFormat chart="27" format="56">
      <pivotArea type="data" outline="0" fieldPosition="0">
        <references count="2">
          <reference field="4294967294" count="1" selected="0">
            <x v="1"/>
          </reference>
          <reference field="0" count="1" selected="0">
            <x v="15"/>
          </reference>
        </references>
      </pivotArea>
    </chartFormat>
    <chartFormat chart="27" format="57">
      <pivotArea type="data" outline="0" fieldPosition="0">
        <references count="2">
          <reference field="4294967294" count="1" selected="0">
            <x v="1"/>
          </reference>
          <reference field="0" count="1" selected="0">
            <x v="16"/>
          </reference>
        </references>
      </pivotArea>
    </chartFormat>
    <chartFormat chart="27" format="58">
      <pivotArea type="data" outline="0" fieldPosition="0">
        <references count="2">
          <reference field="4294967294" count="1" selected="0">
            <x v="1"/>
          </reference>
          <reference field="0" count="1" selected="0">
            <x v="17"/>
          </reference>
        </references>
      </pivotArea>
    </chartFormat>
    <chartFormat chart="27" format="59">
      <pivotArea type="data" outline="0" fieldPosition="0">
        <references count="2">
          <reference field="4294967294" count="1" selected="0">
            <x v="1"/>
          </reference>
          <reference field="0" count="1" selected="0">
            <x v="18"/>
          </reference>
        </references>
      </pivotArea>
    </chartFormat>
    <chartFormat chart="27" format="60">
      <pivotArea type="data" outline="0" fieldPosition="0">
        <references count="2">
          <reference field="4294967294" count="1" selected="0">
            <x v="1"/>
          </reference>
          <reference field="0" count="1" selected="0">
            <x v="19"/>
          </reference>
        </references>
      </pivotArea>
    </chartFormat>
    <chartFormat chart="27" format="61">
      <pivotArea type="data" outline="0" fieldPosition="0">
        <references count="2">
          <reference field="4294967294" count="1" selected="0">
            <x v="1"/>
          </reference>
          <reference field="0" count="1" selected="0">
            <x v="20"/>
          </reference>
        </references>
      </pivotArea>
    </chartFormat>
    <chartFormat chart="27" format="62">
      <pivotArea type="data" outline="0" fieldPosition="0">
        <references count="2">
          <reference field="4294967294" count="1" selected="0">
            <x v="1"/>
          </reference>
          <reference field="0" count="1" selected="0">
            <x v="21"/>
          </reference>
        </references>
      </pivotArea>
    </chartFormat>
    <chartFormat chart="27" format="63">
      <pivotArea type="data" outline="0" fieldPosition="0">
        <references count="2">
          <reference field="4294967294" count="1" selected="0">
            <x v="1"/>
          </reference>
          <reference field="0" count="1" selected="0">
            <x v="22"/>
          </reference>
        </references>
      </pivotArea>
    </chartFormat>
    <chartFormat chart="27" format="64">
      <pivotArea type="data" outline="0" fieldPosition="0">
        <references count="2">
          <reference field="4294967294" count="1" selected="0">
            <x v="1"/>
          </reference>
          <reference field="0" count="1" selected="0">
            <x v="23"/>
          </reference>
        </references>
      </pivotArea>
    </chartFormat>
    <chartFormat chart="27" format="65">
      <pivotArea type="data" outline="0" fieldPosition="0">
        <references count="2">
          <reference field="4294967294" count="1" selected="0">
            <x v="1"/>
          </reference>
          <reference field="0" count="1" selected="0">
            <x v="24"/>
          </reference>
        </references>
      </pivotArea>
    </chartFormat>
    <chartFormat chart="27" format="66">
      <pivotArea type="data" outline="0" fieldPosition="0">
        <references count="2">
          <reference field="4294967294" count="1" selected="0">
            <x v="1"/>
          </reference>
          <reference field="0" count="1" selected="0">
            <x v="25"/>
          </reference>
        </references>
      </pivotArea>
    </chartFormat>
    <chartFormat chart="27" format="67">
      <pivotArea type="data" outline="0" fieldPosition="0">
        <references count="2">
          <reference field="4294967294" count="1" selected="0">
            <x v="1"/>
          </reference>
          <reference field="0" count="1" selected="0">
            <x v="26"/>
          </reference>
        </references>
      </pivotArea>
    </chartFormat>
    <chartFormat chart="27" format="68">
      <pivotArea type="data" outline="0" fieldPosition="0">
        <references count="2">
          <reference field="4294967294" count="1" selected="0">
            <x v="1"/>
          </reference>
          <reference field="0" count="1" selected="0">
            <x v="27"/>
          </reference>
        </references>
      </pivotArea>
    </chartFormat>
    <chartFormat chart="27" format="69">
      <pivotArea type="data" outline="0" fieldPosition="0">
        <references count="2">
          <reference field="4294967294" count="1" selected="0">
            <x v="1"/>
          </reference>
          <reference field="0" count="1" selected="0">
            <x v="28"/>
          </reference>
        </references>
      </pivotArea>
    </chartFormat>
    <chartFormat chart="27" format="70">
      <pivotArea type="data" outline="0" fieldPosition="0">
        <references count="2">
          <reference field="4294967294" count="1" selected="0">
            <x v="1"/>
          </reference>
          <reference field="0" count="1" selected="0">
            <x v="29"/>
          </reference>
        </references>
      </pivotArea>
    </chartFormat>
    <chartFormat chart="27" format="71">
      <pivotArea type="data" outline="0" fieldPosition="0">
        <references count="2">
          <reference field="4294967294" count="1" selected="0">
            <x v="1"/>
          </reference>
          <reference field="0" count="1" selected="0">
            <x v="30"/>
          </reference>
        </references>
      </pivotArea>
    </chartFormat>
    <chartFormat chart="27" format="72">
      <pivotArea type="data" outline="0" fieldPosition="0">
        <references count="2">
          <reference field="4294967294" count="1" selected="0">
            <x v="1"/>
          </reference>
          <reference field="0" count="1" selected="0">
            <x v="31"/>
          </reference>
        </references>
      </pivotArea>
    </chartFormat>
    <chartFormat chart="27" format="73">
      <pivotArea type="data" outline="0" fieldPosition="0">
        <references count="2">
          <reference field="4294967294" count="1" selected="0">
            <x v="1"/>
          </reference>
          <reference field="0" count="1" selected="0">
            <x v="32"/>
          </reference>
        </references>
      </pivotArea>
    </chartFormat>
    <chartFormat chart="27" format="74">
      <pivotArea type="data" outline="0" fieldPosition="0">
        <references count="2">
          <reference field="4294967294" count="1" selected="0">
            <x v="1"/>
          </reference>
          <reference field="0" count="1" selected="0">
            <x v="33"/>
          </reference>
        </references>
      </pivotArea>
    </chartFormat>
    <chartFormat chart="27" format="75">
      <pivotArea type="data" outline="0" fieldPosition="0">
        <references count="2">
          <reference field="4294967294" count="1" selected="0">
            <x v="1"/>
          </reference>
          <reference field="0" count="1" selected="0">
            <x v="34"/>
          </reference>
        </references>
      </pivotArea>
    </chartFormat>
    <chartFormat chart="27" format="76">
      <pivotArea type="data" outline="0" fieldPosition="0">
        <references count="2">
          <reference field="4294967294" count="1" selected="0">
            <x v="1"/>
          </reference>
          <reference field="0" count="1" selected="0">
            <x v="35"/>
          </reference>
        </references>
      </pivotArea>
    </chartFormat>
    <chartFormat chart="27" format="77">
      <pivotArea type="data" outline="0" fieldPosition="0">
        <references count="2">
          <reference field="4294967294" count="1" selected="0">
            <x v="1"/>
          </reference>
          <reference field="0" count="1" selected="0">
            <x v="36"/>
          </reference>
        </references>
      </pivotArea>
    </chartFormat>
    <chartFormat chart="27" format="78">
      <pivotArea type="data" outline="0" fieldPosition="0">
        <references count="2">
          <reference field="4294967294" count="1" selected="0">
            <x v="1"/>
          </reference>
          <reference field="0" count="1" selected="0">
            <x v="37"/>
          </reference>
        </references>
      </pivotArea>
    </chartFormat>
    <chartFormat chart="27" format="79">
      <pivotArea type="data" outline="0" fieldPosition="0">
        <references count="2">
          <reference field="4294967294" count="1" selected="0">
            <x v="1"/>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60CB0-8290-4028-8157-420F828725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4" firstHeaderRow="0" firstDataRow="1" firstDataCol="1" rowPageCount="1" colPageCount="1"/>
  <pivotFields count="5">
    <pivotField axis="axisRow" showAll="0">
      <items count="41">
        <item x="32"/>
        <item x="10"/>
        <item x="0"/>
        <item x="14"/>
        <item x="23"/>
        <item x="24"/>
        <item x="12"/>
        <item x="36"/>
        <item x="17"/>
        <item x="37"/>
        <item x="27"/>
        <item x="28"/>
        <item x="20"/>
        <item x="9"/>
        <item x="33"/>
        <item x="22"/>
        <item x="7"/>
        <item x="2"/>
        <item x="21"/>
        <item x="38"/>
        <item x="4"/>
        <item x="25"/>
        <item x="13"/>
        <item x="1"/>
        <item x="30"/>
        <item x="6"/>
        <item x="15"/>
        <item x="5"/>
        <item x="34"/>
        <item x="11"/>
        <item x="18"/>
        <item x="16"/>
        <item x="8"/>
        <item x="26"/>
        <item x="31"/>
        <item x="19"/>
        <item x="29"/>
        <item x="3"/>
        <item x="35"/>
        <item x="39"/>
        <item t="default"/>
      </items>
    </pivotField>
    <pivotField axis="axisPage" showAll="0">
      <items count="41">
        <item x="28"/>
        <item x="29"/>
        <item x="38"/>
        <item x="12"/>
        <item x="32"/>
        <item x="25"/>
        <item x="36"/>
        <item x="6"/>
        <item x="35"/>
        <item x="13"/>
        <item x="30"/>
        <item x="26"/>
        <item x="23"/>
        <item x="3"/>
        <item x="0"/>
        <item x="17"/>
        <item x="9"/>
        <item x="24"/>
        <item x="2"/>
        <item x="33"/>
        <item x="5"/>
        <item x="1"/>
        <item x="7"/>
        <item x="15"/>
        <item x="16"/>
        <item x="19"/>
        <item x="14"/>
        <item x="27"/>
        <item x="20"/>
        <item x="18"/>
        <item x="10"/>
        <item x="22"/>
        <item x="4"/>
        <item x="31"/>
        <item x="37"/>
        <item x="8"/>
        <item x="34"/>
        <item x="21"/>
        <item x="11"/>
        <item x="39"/>
        <item t="default"/>
      </items>
    </pivotField>
    <pivotField dataField="1" showAll="0">
      <items count="5">
        <item x="1"/>
        <item x="0"/>
        <item x="2"/>
        <item x="3"/>
        <item t="default"/>
      </items>
    </pivotField>
    <pivotField showAll="0">
      <items count="31">
        <item x="7"/>
        <item x="19"/>
        <item x="9"/>
        <item x="20"/>
        <item x="27"/>
        <item x="18"/>
        <item x="1"/>
        <item x="12"/>
        <item x="4"/>
        <item x="0"/>
        <item x="2"/>
        <item x="10"/>
        <item x="14"/>
        <item x="17"/>
        <item x="3"/>
        <item x="13"/>
        <item x="8"/>
        <item x="11"/>
        <item x="6"/>
        <item x="25"/>
        <item x="24"/>
        <item x="15"/>
        <item x="21"/>
        <item x="23"/>
        <item x="26"/>
        <item x="5"/>
        <item x="22"/>
        <item x="16"/>
        <item x="28"/>
        <item x="29"/>
        <item t="default"/>
      </items>
    </pivotField>
    <pivotField dataField="1"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pageFields count="1">
    <pageField fld="1" hier="-1"/>
  </pageFields>
  <dataFields count="2">
    <dataField name="Sum of Quantity" fld="2" baseField="0" baseItem="0"/>
    <dataField name="Sum of Amount (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86DF70B9-9911-4C79-97DE-0376F958A37A}" sourceName="Employee Name">
  <pivotTables>
    <pivotTable tabId="8" name="PivotTable5"/>
  </pivotTables>
  <data>
    <tabular pivotCacheId="1147002029">
      <items count="40">
        <i x="32" s="1"/>
        <i x="10" s="1"/>
        <i x="0" s="1"/>
        <i x="14" s="1"/>
        <i x="23" s="1"/>
        <i x="24" s="1"/>
        <i x="12" s="1"/>
        <i x="36" s="1"/>
        <i x="17" s="1"/>
        <i x="37" s="1"/>
        <i x="27" s="1"/>
        <i x="28" s="1"/>
        <i x="20" s="1"/>
        <i x="9" s="1"/>
        <i x="33" s="1"/>
        <i x="22" s="1"/>
        <i x="7" s="1"/>
        <i x="2" s="1"/>
        <i x="21" s="1"/>
        <i x="38" s="1"/>
        <i x="4" s="1"/>
        <i x="25" s="1"/>
        <i x="13" s="1"/>
        <i x="1" s="1"/>
        <i x="30" s="1"/>
        <i x="6" s="1"/>
        <i x="15" s="1"/>
        <i x="5" s="1"/>
        <i x="34" s="1"/>
        <i x="11" s="1"/>
        <i x="18" s="1"/>
        <i x="16" s="1"/>
        <i x="8" s="1"/>
        <i x="26" s="1"/>
        <i x="31" s="1"/>
        <i x="19" s="1"/>
        <i x="29" s="1"/>
        <i x="3" s="1"/>
        <i x="35" s="1"/>
        <i x="3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__Rs." xr10:uid="{E886920B-FC59-4FC1-AB1C-6A31171F9174}" sourceName="Rate (Rs.)">
  <pivotTables>
    <pivotTable tabId="8" name="PivotTable5"/>
  </pivotTables>
  <data>
    <tabular pivotCacheId="1147002029">
      <items count="30">
        <i x="7" s="1"/>
        <i x="19" s="1"/>
        <i x="9" s="1"/>
        <i x="20" s="1"/>
        <i x="27" s="1"/>
        <i x="18" s="1"/>
        <i x="1" s="1"/>
        <i x="12" s="1"/>
        <i x="4" s="1"/>
        <i x="0" s="1"/>
        <i x="2" s="1"/>
        <i x="10" s="1"/>
        <i x="14" s="1"/>
        <i x="17" s="1"/>
        <i x="3" s="1"/>
        <i x="13" s="1"/>
        <i x="8" s="1"/>
        <i x="11" s="1"/>
        <i x="6" s="1"/>
        <i x="25" s="1"/>
        <i x="24" s="1"/>
        <i x="15" s="1"/>
        <i x="21" s="1"/>
        <i x="23" s="1"/>
        <i x="26" s="1"/>
        <i x="5" s="1"/>
        <i x="22" s="1"/>
        <i x="16" s="1"/>
        <i x="28" s="1"/>
        <i x="2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58FE4BF-667F-4601-A3D0-80C297524883}" sourceName="Item">
  <pivotTables>
    <pivotTable tabId="8" name="PivotTable5"/>
  </pivotTables>
  <data>
    <tabular pivotCacheId="1147002029">
      <items count="40">
        <i x="28" s="1"/>
        <i x="29" s="1"/>
        <i x="38" s="1"/>
        <i x="12" s="1"/>
        <i x="32" s="1"/>
        <i x="25" s="1"/>
        <i x="36" s="1"/>
        <i x="6" s="1"/>
        <i x="35" s="1"/>
        <i x="13" s="1"/>
        <i x="30" s="1"/>
        <i x="26" s="1"/>
        <i x="23" s="1"/>
        <i x="3" s="1"/>
        <i x="0" s="1"/>
        <i x="17" s="1"/>
        <i x="9" s="1"/>
        <i x="24" s="1"/>
        <i x="2" s="1"/>
        <i x="33" s="1"/>
        <i x="5" s="1"/>
        <i x="1" s="1"/>
        <i x="7" s="1"/>
        <i x="15" s="1"/>
        <i x="16" s="1"/>
        <i x="19" s="1"/>
        <i x="14" s="1"/>
        <i x="27" s="1"/>
        <i x="20" s="1"/>
        <i x="18" s="1"/>
        <i x="10" s="1"/>
        <i x="22" s="1"/>
        <i x="4" s="1"/>
        <i x="31" s="1"/>
        <i x="37" s="1"/>
        <i x="8" s="1"/>
        <i x="34" s="1"/>
        <i x="21" s="1"/>
        <i x="11" s="1"/>
        <i x="3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D2DA31C-CDB8-49D2-B061-E640E59D6BBA}" sourceName="Quantity">
  <pivotTables>
    <pivotTable tabId="8" name="PivotTable5"/>
  </pivotTables>
  <data>
    <tabular pivotCacheId="1147002029">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ACAE1C89-B21F-42CD-AF86-8D7A2E508AEC}" cache="Slicer_Employee_Name" caption="Employee Name" rowHeight="257175"/>
  <slicer name="Rate (Rs.)" xr10:uid="{85061036-DB92-4D5C-9DE9-ACEF4065081D}" cache="Slicer_Rate__Rs." caption="Rate (Rs.)" rowHeight="257175"/>
  <slicer name="Item" xr10:uid="{6AD67EEB-571C-4DAE-B61F-B2584ABC49C7}" cache="Slicer_Item" caption="Item" startItem="6" rowHeight="257175"/>
  <slicer name="Quantity" xr10:uid="{6FA5CDD3-0F19-4785-B2FC-E34669583ACB}" cache="Slicer_Quantity" caption="Quantit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A8CF4-FE7C-4241-98FB-70F37B3C61C7}">
  <sheetPr>
    <tabColor rgb="FF92D050"/>
  </sheetPr>
  <dimension ref="A1:H42"/>
  <sheetViews>
    <sheetView workbookViewId="0">
      <selection activeCell="J6" sqref="J6"/>
    </sheetView>
  </sheetViews>
  <sheetFormatPr defaultRowHeight="15"/>
  <cols>
    <col min="1" max="1" width="15.85546875" bestFit="1" customWidth="1"/>
    <col min="2" max="2" width="20.28515625" bestFit="1" customWidth="1"/>
    <col min="3" max="3" width="10.5703125" bestFit="1" customWidth="1"/>
    <col min="4" max="4" width="16.5703125" customWidth="1"/>
    <col min="5" max="5" width="12.7109375" customWidth="1"/>
  </cols>
  <sheetData>
    <row r="1" spans="1:8" ht="21.75" customHeight="1">
      <c r="A1" s="7" t="s">
        <v>8</v>
      </c>
      <c r="B1" s="7" t="s">
        <v>9</v>
      </c>
      <c r="C1" s="7" t="s">
        <v>10</v>
      </c>
      <c r="D1" s="7" t="s">
        <v>11</v>
      </c>
      <c r="E1" s="7" t="s">
        <v>1</v>
      </c>
    </row>
    <row r="2" spans="1:8">
      <c r="A2" s="5" t="s">
        <v>12</v>
      </c>
      <c r="B2" s="5" t="s">
        <v>13</v>
      </c>
      <c r="C2" s="5">
        <v>2</v>
      </c>
      <c r="D2" s="5">
        <v>1200</v>
      </c>
      <c r="E2" s="6">
        <v>2400</v>
      </c>
      <c r="H2" s="11" t="s">
        <v>97</v>
      </c>
    </row>
    <row r="3" spans="1:8">
      <c r="A3" s="5" t="s">
        <v>14</v>
      </c>
      <c r="B3" s="5" t="s">
        <v>15</v>
      </c>
      <c r="C3" s="5">
        <v>1</v>
      </c>
      <c r="D3" s="5">
        <v>800</v>
      </c>
      <c r="E3" s="6">
        <v>800</v>
      </c>
    </row>
    <row r="4" spans="1:8">
      <c r="A4" s="5" t="s">
        <v>16</v>
      </c>
      <c r="B4" s="5" t="s">
        <v>17</v>
      </c>
      <c r="C4" s="5">
        <v>1</v>
      </c>
      <c r="D4" s="5">
        <v>1500</v>
      </c>
      <c r="E4" s="6">
        <v>1500</v>
      </c>
    </row>
    <row r="5" spans="1:8">
      <c r="A5" s="5" t="s">
        <v>18</v>
      </c>
      <c r="B5" s="5" t="s">
        <v>19</v>
      </c>
      <c r="C5" s="5">
        <v>2</v>
      </c>
      <c r="D5" s="5">
        <v>2500</v>
      </c>
      <c r="E5" s="6">
        <v>5000</v>
      </c>
    </row>
    <row r="6" spans="1:8">
      <c r="A6" s="5" t="s">
        <v>20</v>
      </c>
      <c r="B6" s="5" t="s">
        <v>21</v>
      </c>
      <c r="C6" s="5">
        <v>1</v>
      </c>
      <c r="D6" s="5">
        <v>1000</v>
      </c>
      <c r="E6" s="6">
        <v>1000</v>
      </c>
    </row>
    <row r="7" spans="1:8">
      <c r="A7" s="5" t="s">
        <v>22</v>
      </c>
      <c r="B7" s="5" t="s">
        <v>23</v>
      </c>
      <c r="C7" s="5">
        <v>1</v>
      </c>
      <c r="D7" s="5">
        <v>12000</v>
      </c>
      <c r="E7" s="6">
        <v>12000</v>
      </c>
    </row>
    <row r="8" spans="1:8">
      <c r="A8" s="5" t="s">
        <v>24</v>
      </c>
      <c r="B8" s="5" t="s">
        <v>25</v>
      </c>
      <c r="C8" s="5">
        <v>1</v>
      </c>
      <c r="D8" s="5">
        <v>4500</v>
      </c>
      <c r="E8" s="6">
        <v>4500</v>
      </c>
    </row>
    <row r="9" spans="1:8">
      <c r="A9" s="5" t="s">
        <v>26</v>
      </c>
      <c r="B9" s="5" t="s">
        <v>27</v>
      </c>
      <c r="C9" s="5">
        <v>3</v>
      </c>
      <c r="D9" s="5">
        <v>300</v>
      </c>
      <c r="E9" s="6">
        <v>900</v>
      </c>
    </row>
    <row r="10" spans="1:8">
      <c r="A10" s="5" t="s">
        <v>28</v>
      </c>
      <c r="B10" s="5" t="s">
        <v>29</v>
      </c>
      <c r="C10" s="5">
        <v>1</v>
      </c>
      <c r="D10" s="5">
        <v>3200</v>
      </c>
      <c r="E10" s="6">
        <v>3200</v>
      </c>
    </row>
    <row r="11" spans="1:8">
      <c r="A11" s="5" t="s">
        <v>30</v>
      </c>
      <c r="B11" s="5" t="s">
        <v>31</v>
      </c>
      <c r="C11" s="5">
        <v>1</v>
      </c>
      <c r="D11" s="5">
        <v>2500</v>
      </c>
      <c r="E11" s="6">
        <v>2500</v>
      </c>
    </row>
    <row r="12" spans="1:8">
      <c r="A12" s="5" t="s">
        <v>32</v>
      </c>
      <c r="B12" s="5" t="s">
        <v>33</v>
      </c>
      <c r="C12" s="5">
        <v>2</v>
      </c>
      <c r="D12" s="5">
        <v>500</v>
      </c>
      <c r="E12" s="6">
        <v>1000</v>
      </c>
    </row>
    <row r="13" spans="1:8">
      <c r="A13" s="5" t="s">
        <v>34</v>
      </c>
      <c r="B13" s="5" t="s">
        <v>35</v>
      </c>
      <c r="C13" s="5">
        <v>1</v>
      </c>
      <c r="D13" s="5">
        <v>1200</v>
      </c>
      <c r="E13" s="6">
        <v>1200</v>
      </c>
    </row>
    <row r="14" spans="1:8">
      <c r="A14" s="5" t="s">
        <v>36</v>
      </c>
      <c r="B14" s="5" t="s">
        <v>37</v>
      </c>
      <c r="C14" s="5">
        <v>1</v>
      </c>
      <c r="D14" s="5">
        <v>1800</v>
      </c>
      <c r="E14" s="6">
        <v>1800</v>
      </c>
    </row>
    <row r="15" spans="1:8">
      <c r="A15" s="5" t="s">
        <v>38</v>
      </c>
      <c r="B15" s="5" t="s">
        <v>39</v>
      </c>
      <c r="C15" s="5">
        <v>1</v>
      </c>
      <c r="D15" s="5">
        <v>4500</v>
      </c>
      <c r="E15" s="6">
        <v>4500</v>
      </c>
    </row>
    <row r="16" spans="1:8">
      <c r="A16" s="5" t="s">
        <v>40</v>
      </c>
      <c r="B16" s="5" t="s">
        <v>41</v>
      </c>
      <c r="C16" s="5">
        <v>1</v>
      </c>
      <c r="D16" s="5">
        <v>3500</v>
      </c>
      <c r="E16" s="6">
        <v>3500</v>
      </c>
    </row>
    <row r="17" spans="1:5">
      <c r="A17" s="5" t="s">
        <v>42</v>
      </c>
      <c r="B17" s="5" t="s">
        <v>43</v>
      </c>
      <c r="C17" s="5">
        <v>2</v>
      </c>
      <c r="D17" s="5">
        <v>900</v>
      </c>
      <c r="E17" s="6">
        <v>1800</v>
      </c>
    </row>
    <row r="18" spans="1:5">
      <c r="A18" s="5" t="s">
        <v>44</v>
      </c>
      <c r="B18" s="5" t="s">
        <v>45</v>
      </c>
      <c r="C18" s="5">
        <v>1</v>
      </c>
      <c r="D18" s="5">
        <v>3000</v>
      </c>
      <c r="E18" s="6">
        <v>3000</v>
      </c>
    </row>
    <row r="19" spans="1:5">
      <c r="A19" s="5" t="s">
        <v>46</v>
      </c>
      <c r="B19" s="5" t="s">
        <v>47</v>
      </c>
      <c r="C19" s="5">
        <v>1</v>
      </c>
      <c r="D19" s="5">
        <v>2000</v>
      </c>
      <c r="E19" s="6">
        <v>2000</v>
      </c>
    </row>
    <row r="20" spans="1:5">
      <c r="A20" s="5" t="s">
        <v>48</v>
      </c>
      <c r="B20" s="5" t="s">
        <v>49</v>
      </c>
      <c r="C20" s="5">
        <v>1</v>
      </c>
      <c r="D20" s="5">
        <v>6000</v>
      </c>
      <c r="E20" s="6">
        <v>6000</v>
      </c>
    </row>
    <row r="21" spans="1:5">
      <c r="A21" s="5" t="s">
        <v>50</v>
      </c>
      <c r="B21" s="5" t="s">
        <v>51</v>
      </c>
      <c r="C21" s="5">
        <v>1</v>
      </c>
      <c r="D21" s="5">
        <v>15000</v>
      </c>
      <c r="E21" s="6">
        <v>15000</v>
      </c>
    </row>
    <row r="22" spans="1:5">
      <c r="A22" s="5" t="s">
        <v>52</v>
      </c>
      <c r="B22" s="5" t="s">
        <v>53</v>
      </c>
      <c r="C22" s="5">
        <v>1</v>
      </c>
      <c r="D22" s="5">
        <v>3500</v>
      </c>
      <c r="E22" s="6">
        <v>3500</v>
      </c>
    </row>
    <row r="23" spans="1:5">
      <c r="A23" s="5" t="s">
        <v>54</v>
      </c>
      <c r="B23" s="5" t="s">
        <v>55</v>
      </c>
      <c r="C23" s="5">
        <v>1</v>
      </c>
      <c r="D23" s="5">
        <v>2200</v>
      </c>
      <c r="E23" s="6">
        <v>2200</v>
      </c>
    </row>
    <row r="24" spans="1:5">
      <c r="A24" s="5" t="s">
        <v>56</v>
      </c>
      <c r="B24" s="5" t="s">
        <v>57</v>
      </c>
      <c r="C24" s="5">
        <v>2</v>
      </c>
      <c r="D24" s="5">
        <v>750</v>
      </c>
      <c r="E24" s="6">
        <v>1500</v>
      </c>
    </row>
    <row r="25" spans="1:5">
      <c r="A25" s="5" t="s">
        <v>58</v>
      </c>
      <c r="B25" s="5" t="s">
        <v>59</v>
      </c>
      <c r="C25" s="5">
        <v>3</v>
      </c>
      <c r="D25" s="5">
        <v>400</v>
      </c>
      <c r="E25" s="6">
        <v>1200</v>
      </c>
    </row>
    <row r="26" spans="1:5">
      <c r="A26" s="5" t="s">
        <v>60</v>
      </c>
      <c r="B26" s="5" t="s">
        <v>61</v>
      </c>
      <c r="C26" s="5">
        <v>1</v>
      </c>
      <c r="D26" s="5">
        <v>600</v>
      </c>
      <c r="E26" s="6">
        <v>600</v>
      </c>
    </row>
    <row r="27" spans="1:5">
      <c r="A27" s="5" t="s">
        <v>62</v>
      </c>
      <c r="B27" s="5" t="s">
        <v>63</v>
      </c>
      <c r="C27" s="5">
        <v>1</v>
      </c>
      <c r="D27" s="5">
        <v>7000</v>
      </c>
      <c r="E27" s="6">
        <v>7000</v>
      </c>
    </row>
    <row r="28" spans="1:5">
      <c r="A28" s="5" t="s">
        <v>64</v>
      </c>
      <c r="B28" s="5" t="s">
        <v>65</v>
      </c>
      <c r="C28" s="5">
        <v>1</v>
      </c>
      <c r="D28" s="5">
        <v>14000</v>
      </c>
      <c r="E28" s="6">
        <v>14000</v>
      </c>
    </row>
    <row r="29" spans="1:5">
      <c r="A29" s="5" t="s">
        <v>66</v>
      </c>
      <c r="B29" s="5" t="s">
        <v>67</v>
      </c>
      <c r="C29" s="5">
        <v>1</v>
      </c>
      <c r="D29" s="5">
        <v>8000</v>
      </c>
      <c r="E29" s="6">
        <v>8000</v>
      </c>
    </row>
    <row r="30" spans="1:5">
      <c r="A30" s="5" t="s">
        <v>68</v>
      </c>
      <c r="B30" s="5" t="s">
        <v>69</v>
      </c>
      <c r="C30" s="5">
        <v>2</v>
      </c>
      <c r="D30" s="5">
        <v>1200</v>
      </c>
      <c r="E30" s="6">
        <v>2400</v>
      </c>
    </row>
    <row r="31" spans="1:5">
      <c r="A31" s="5" t="s">
        <v>70</v>
      </c>
      <c r="B31" s="5" t="s">
        <v>71</v>
      </c>
      <c r="C31" s="5">
        <v>1</v>
      </c>
      <c r="D31" s="5">
        <v>1800</v>
      </c>
      <c r="E31" s="6">
        <v>1800</v>
      </c>
    </row>
    <row r="32" spans="1:5">
      <c r="A32" s="5" t="s">
        <v>72</v>
      </c>
      <c r="B32" s="5" t="s">
        <v>73</v>
      </c>
      <c r="C32" s="5">
        <v>1</v>
      </c>
      <c r="D32" s="5">
        <v>3000</v>
      </c>
      <c r="E32" s="6">
        <v>3000</v>
      </c>
    </row>
    <row r="33" spans="1:5">
      <c r="A33" s="5" t="s">
        <v>74</v>
      </c>
      <c r="B33" s="5" t="s">
        <v>75</v>
      </c>
      <c r="C33" s="5">
        <v>3</v>
      </c>
      <c r="D33" s="5">
        <v>600</v>
      </c>
      <c r="E33" s="6">
        <v>1800</v>
      </c>
    </row>
    <row r="34" spans="1:5">
      <c r="A34" s="5" t="s">
        <v>76</v>
      </c>
      <c r="B34" s="5" t="s">
        <v>77</v>
      </c>
      <c r="C34" s="5">
        <v>1</v>
      </c>
      <c r="D34" s="5">
        <v>5500</v>
      </c>
      <c r="E34" s="6">
        <v>5500</v>
      </c>
    </row>
    <row r="35" spans="1:5">
      <c r="A35" s="5" t="s">
        <v>78</v>
      </c>
      <c r="B35" s="5" t="s">
        <v>79</v>
      </c>
      <c r="C35" s="5">
        <v>1</v>
      </c>
      <c r="D35" s="5">
        <v>5000</v>
      </c>
      <c r="E35" s="6">
        <v>5000</v>
      </c>
    </row>
    <row r="36" spans="1:5">
      <c r="A36" s="5" t="s">
        <v>80</v>
      </c>
      <c r="B36" s="5" t="s">
        <v>81</v>
      </c>
      <c r="C36" s="5">
        <v>1</v>
      </c>
      <c r="D36" s="5">
        <v>4500</v>
      </c>
      <c r="E36" s="6">
        <v>4500</v>
      </c>
    </row>
    <row r="37" spans="1:5">
      <c r="A37" s="5" t="s">
        <v>82</v>
      </c>
      <c r="B37" s="5" t="s">
        <v>83</v>
      </c>
      <c r="C37" s="5">
        <v>1</v>
      </c>
      <c r="D37" s="5">
        <v>11000</v>
      </c>
      <c r="E37" s="6">
        <v>11000</v>
      </c>
    </row>
    <row r="38" spans="1:5">
      <c r="A38" s="5" t="s">
        <v>84</v>
      </c>
      <c r="B38" s="5" t="s">
        <v>85</v>
      </c>
      <c r="C38" s="5">
        <v>2</v>
      </c>
      <c r="D38" s="5">
        <v>700</v>
      </c>
      <c r="E38" s="6">
        <v>1400</v>
      </c>
    </row>
    <row r="39" spans="1:5">
      <c r="A39" s="5" t="s">
        <v>86</v>
      </c>
      <c r="B39" s="5" t="s">
        <v>87</v>
      </c>
      <c r="C39" s="5">
        <v>1</v>
      </c>
      <c r="D39" s="5">
        <v>25000</v>
      </c>
      <c r="E39" s="6">
        <v>25000</v>
      </c>
    </row>
    <row r="40" spans="1:5">
      <c r="A40" s="5" t="s">
        <v>88</v>
      </c>
      <c r="B40" s="5" t="s">
        <v>89</v>
      </c>
      <c r="C40" s="5">
        <v>1</v>
      </c>
      <c r="D40" s="5">
        <v>900</v>
      </c>
      <c r="E40" s="6">
        <v>900</v>
      </c>
    </row>
    <row r="41" spans="1:5">
      <c r="A41" s="5"/>
      <c r="B41" s="5"/>
      <c r="C41" s="5"/>
      <c r="D41" s="5"/>
      <c r="E41" s="6"/>
    </row>
    <row r="42" spans="1:5">
      <c r="A42" s="5"/>
      <c r="B42" s="5"/>
      <c r="C42" s="5"/>
      <c r="D42" s="5"/>
      <c r="E4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E934E-7AA3-43BA-BB7E-8C4511B255B2}">
  <sheetPr>
    <tabColor rgb="FFFF0000"/>
  </sheetPr>
  <dimension ref="A1:E43"/>
  <sheetViews>
    <sheetView workbookViewId="0">
      <selection activeCell="E2" sqref="E2"/>
    </sheetView>
  </sheetViews>
  <sheetFormatPr defaultRowHeight="15"/>
  <cols>
    <col min="1" max="1" width="18.140625" bestFit="1" customWidth="1"/>
    <col min="2" max="2" width="19.7109375" bestFit="1" customWidth="1"/>
    <col min="3" max="3" width="15.5703125" bestFit="1" customWidth="1"/>
    <col min="4" max="5" width="11.28515625" bestFit="1" customWidth="1"/>
    <col min="6" max="27" width="15" bestFit="1" customWidth="1"/>
    <col min="28" max="28" width="11.28515625" bestFit="1" customWidth="1"/>
  </cols>
  <sheetData>
    <row r="1" spans="1:5">
      <c r="A1" s="8" t="s">
        <v>9</v>
      </c>
      <c r="B1" t="s">
        <v>90</v>
      </c>
      <c r="E1" s="11" t="s">
        <v>98</v>
      </c>
    </row>
    <row r="3" spans="1:5">
      <c r="A3" s="8" t="s">
        <v>8</v>
      </c>
      <c r="B3" t="s">
        <v>93</v>
      </c>
      <c r="C3" t="s">
        <v>92</v>
      </c>
    </row>
    <row r="4" spans="1:5">
      <c r="A4" t="s">
        <v>76</v>
      </c>
      <c r="B4" s="4">
        <v>5500</v>
      </c>
      <c r="C4">
        <v>1</v>
      </c>
    </row>
    <row r="5" spans="1:5">
      <c r="A5" t="s">
        <v>32</v>
      </c>
      <c r="B5" s="4">
        <v>1000</v>
      </c>
      <c r="C5">
        <v>2</v>
      </c>
    </row>
    <row r="6" spans="1:5">
      <c r="A6" t="s">
        <v>12</v>
      </c>
      <c r="B6" s="4">
        <v>2400</v>
      </c>
      <c r="C6">
        <v>2</v>
      </c>
    </row>
    <row r="7" spans="1:5">
      <c r="A7" t="s">
        <v>40</v>
      </c>
      <c r="B7" s="4">
        <v>3500</v>
      </c>
      <c r="C7">
        <v>1</v>
      </c>
    </row>
    <row r="8" spans="1:5">
      <c r="A8" t="s">
        <v>58</v>
      </c>
      <c r="B8" s="4">
        <v>1200</v>
      </c>
      <c r="C8">
        <v>3</v>
      </c>
    </row>
    <row r="9" spans="1:5">
      <c r="A9" t="s">
        <v>60</v>
      </c>
      <c r="B9" s="4">
        <v>600</v>
      </c>
      <c r="C9">
        <v>1</v>
      </c>
    </row>
    <row r="10" spans="1:5">
      <c r="A10" t="s">
        <v>36</v>
      </c>
      <c r="B10" s="4">
        <v>1800</v>
      </c>
      <c r="C10">
        <v>1</v>
      </c>
    </row>
    <row r="11" spans="1:5">
      <c r="A11" t="s">
        <v>84</v>
      </c>
      <c r="B11" s="4">
        <v>1400</v>
      </c>
      <c r="C11">
        <v>2</v>
      </c>
    </row>
    <row r="12" spans="1:5">
      <c r="A12" t="s">
        <v>46</v>
      </c>
      <c r="B12" s="4">
        <v>2000</v>
      </c>
      <c r="C12">
        <v>1</v>
      </c>
    </row>
    <row r="13" spans="1:5">
      <c r="A13" t="s">
        <v>86</v>
      </c>
      <c r="B13" s="4">
        <v>25000</v>
      </c>
      <c r="C13">
        <v>1</v>
      </c>
    </row>
    <row r="14" spans="1:5">
      <c r="A14" t="s">
        <v>66</v>
      </c>
      <c r="B14" s="4">
        <v>8000</v>
      </c>
      <c r="C14">
        <v>1</v>
      </c>
    </row>
    <row r="15" spans="1:5">
      <c r="A15" t="s">
        <v>68</v>
      </c>
      <c r="B15" s="4">
        <v>2400</v>
      </c>
      <c r="C15">
        <v>2</v>
      </c>
    </row>
    <row r="16" spans="1:5">
      <c r="A16" t="s">
        <v>52</v>
      </c>
      <c r="B16" s="4">
        <v>3500</v>
      </c>
      <c r="C16">
        <v>1</v>
      </c>
    </row>
    <row r="17" spans="1:3">
      <c r="A17" t="s">
        <v>30</v>
      </c>
      <c r="B17" s="4">
        <v>2500</v>
      </c>
      <c r="C17">
        <v>1</v>
      </c>
    </row>
    <row r="18" spans="1:3">
      <c r="A18" t="s">
        <v>78</v>
      </c>
      <c r="B18" s="4">
        <v>5000</v>
      </c>
      <c r="C18">
        <v>1</v>
      </c>
    </row>
    <row r="19" spans="1:3">
      <c r="A19" t="s">
        <v>56</v>
      </c>
      <c r="B19" s="4">
        <v>1500</v>
      </c>
      <c r="C19">
        <v>2</v>
      </c>
    </row>
    <row r="20" spans="1:3">
      <c r="A20" t="s">
        <v>26</v>
      </c>
      <c r="B20" s="4">
        <v>900</v>
      </c>
      <c r="C20">
        <v>3</v>
      </c>
    </row>
    <row r="21" spans="1:3">
      <c r="A21" t="s">
        <v>16</v>
      </c>
      <c r="B21" s="4">
        <v>1500</v>
      </c>
      <c r="C21">
        <v>1</v>
      </c>
    </row>
    <row r="22" spans="1:3">
      <c r="A22" t="s">
        <v>54</v>
      </c>
      <c r="B22" s="4">
        <v>2200</v>
      </c>
      <c r="C22">
        <v>1</v>
      </c>
    </row>
    <row r="23" spans="1:3">
      <c r="A23" t="s">
        <v>88</v>
      </c>
      <c r="B23" s="4">
        <v>900</v>
      </c>
      <c r="C23">
        <v>1</v>
      </c>
    </row>
    <row r="24" spans="1:3">
      <c r="A24" t="s">
        <v>20</v>
      </c>
      <c r="B24" s="4">
        <v>1000</v>
      </c>
      <c r="C24">
        <v>1</v>
      </c>
    </row>
    <row r="25" spans="1:3">
      <c r="A25" t="s">
        <v>62</v>
      </c>
      <c r="B25" s="4">
        <v>7000</v>
      </c>
      <c r="C25">
        <v>1</v>
      </c>
    </row>
    <row r="26" spans="1:3">
      <c r="A26" t="s">
        <v>38</v>
      </c>
      <c r="B26" s="4">
        <v>4500</v>
      </c>
      <c r="C26">
        <v>1</v>
      </c>
    </row>
    <row r="27" spans="1:3">
      <c r="A27" t="s">
        <v>14</v>
      </c>
      <c r="B27" s="4">
        <v>800</v>
      </c>
      <c r="C27">
        <v>1</v>
      </c>
    </row>
    <row r="28" spans="1:3">
      <c r="A28" t="s">
        <v>72</v>
      </c>
      <c r="B28" s="4">
        <v>3000</v>
      </c>
      <c r="C28">
        <v>1</v>
      </c>
    </row>
    <row r="29" spans="1:3">
      <c r="A29" t="s">
        <v>24</v>
      </c>
      <c r="B29" s="4">
        <v>4500</v>
      </c>
      <c r="C29">
        <v>1</v>
      </c>
    </row>
    <row r="30" spans="1:3">
      <c r="A30" t="s">
        <v>42</v>
      </c>
      <c r="B30" s="4">
        <v>1800</v>
      </c>
      <c r="C30">
        <v>2</v>
      </c>
    </row>
    <row r="31" spans="1:3">
      <c r="A31" t="s">
        <v>22</v>
      </c>
      <c r="B31" s="4">
        <v>12000</v>
      </c>
      <c r="C31">
        <v>1</v>
      </c>
    </row>
    <row r="32" spans="1:3">
      <c r="A32" t="s">
        <v>80</v>
      </c>
      <c r="B32" s="4">
        <v>4500</v>
      </c>
      <c r="C32">
        <v>1</v>
      </c>
    </row>
    <row r="33" spans="1:3">
      <c r="A33" t="s">
        <v>34</v>
      </c>
      <c r="B33" s="4">
        <v>1200</v>
      </c>
      <c r="C33">
        <v>1</v>
      </c>
    </row>
    <row r="34" spans="1:3">
      <c r="A34" t="s">
        <v>48</v>
      </c>
      <c r="B34" s="4">
        <v>6000</v>
      </c>
      <c r="C34">
        <v>1</v>
      </c>
    </row>
    <row r="35" spans="1:3">
      <c r="A35" t="s">
        <v>44</v>
      </c>
      <c r="B35" s="4">
        <v>3000</v>
      </c>
      <c r="C35">
        <v>1</v>
      </c>
    </row>
    <row r="36" spans="1:3">
      <c r="A36" t="s">
        <v>28</v>
      </c>
      <c r="B36" s="4">
        <v>3200</v>
      </c>
      <c r="C36">
        <v>1</v>
      </c>
    </row>
    <row r="37" spans="1:3">
      <c r="A37" t="s">
        <v>64</v>
      </c>
      <c r="B37" s="4">
        <v>14000</v>
      </c>
      <c r="C37">
        <v>1</v>
      </c>
    </row>
    <row r="38" spans="1:3">
      <c r="A38" t="s">
        <v>74</v>
      </c>
      <c r="B38" s="4">
        <v>1800</v>
      </c>
      <c r="C38">
        <v>3</v>
      </c>
    </row>
    <row r="39" spans="1:3">
      <c r="A39" t="s">
        <v>50</v>
      </c>
      <c r="B39" s="4">
        <v>15000</v>
      </c>
      <c r="C39">
        <v>1</v>
      </c>
    </row>
    <row r="40" spans="1:3">
      <c r="A40" t="s">
        <v>70</v>
      </c>
      <c r="B40" s="4">
        <v>1800</v>
      </c>
      <c r="C40">
        <v>1</v>
      </c>
    </row>
    <row r="41" spans="1:3">
      <c r="A41" t="s">
        <v>18</v>
      </c>
      <c r="B41" s="4">
        <v>5000</v>
      </c>
      <c r="C41">
        <v>2</v>
      </c>
    </row>
    <row r="42" spans="1:3">
      <c r="A42" t="s">
        <v>82</v>
      </c>
      <c r="B42" s="4">
        <v>11000</v>
      </c>
      <c r="C42">
        <v>1</v>
      </c>
    </row>
    <row r="43" spans="1:3">
      <c r="A43" t="s">
        <v>7</v>
      </c>
      <c r="B43" s="4">
        <v>173900</v>
      </c>
      <c r="C43">
        <v>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994CD-6A7F-4B1D-90E3-0314A8FB7130}">
  <sheetPr>
    <tabColor rgb="FF00B0F0"/>
  </sheetPr>
  <dimension ref="A1:E44"/>
  <sheetViews>
    <sheetView workbookViewId="0">
      <selection activeCell="H20" sqref="H20"/>
    </sheetView>
  </sheetViews>
  <sheetFormatPr defaultRowHeight="15"/>
  <cols>
    <col min="1" max="1" width="15.140625" bestFit="1" customWidth="1"/>
    <col min="2" max="2" width="15.5703125" bestFit="1" customWidth="1"/>
    <col min="3" max="3" width="19.7109375" bestFit="1" customWidth="1"/>
  </cols>
  <sheetData>
    <row r="1" spans="1:5">
      <c r="A1" s="8" t="s">
        <v>9</v>
      </c>
      <c r="B1" t="s">
        <v>90</v>
      </c>
      <c r="E1" s="11" t="s">
        <v>99</v>
      </c>
    </row>
    <row r="3" spans="1:5">
      <c r="A3" s="8" t="s">
        <v>91</v>
      </c>
      <c r="B3" t="s">
        <v>92</v>
      </c>
      <c r="C3" t="s">
        <v>93</v>
      </c>
    </row>
    <row r="4" spans="1:5">
      <c r="A4" s="9" t="s">
        <v>76</v>
      </c>
      <c r="B4">
        <v>1</v>
      </c>
      <c r="C4">
        <v>5500</v>
      </c>
    </row>
    <row r="5" spans="1:5">
      <c r="A5" s="9" t="s">
        <v>32</v>
      </c>
      <c r="B5">
        <v>2</v>
      </c>
      <c r="C5">
        <v>1000</v>
      </c>
    </row>
    <row r="6" spans="1:5">
      <c r="A6" s="9" t="s">
        <v>12</v>
      </c>
      <c r="B6">
        <v>2</v>
      </c>
      <c r="C6">
        <v>2400</v>
      </c>
    </row>
    <row r="7" spans="1:5">
      <c r="A7" s="9" t="s">
        <v>40</v>
      </c>
      <c r="B7">
        <v>1</v>
      </c>
      <c r="C7">
        <v>3500</v>
      </c>
    </row>
    <row r="8" spans="1:5">
      <c r="A8" s="9" t="s">
        <v>58</v>
      </c>
      <c r="B8">
        <v>3</v>
      </c>
      <c r="C8">
        <v>1200</v>
      </c>
    </row>
    <row r="9" spans="1:5">
      <c r="A9" s="9" t="s">
        <v>60</v>
      </c>
      <c r="B9">
        <v>1</v>
      </c>
      <c r="C9">
        <v>600</v>
      </c>
    </row>
    <row r="10" spans="1:5">
      <c r="A10" s="9" t="s">
        <v>36</v>
      </c>
      <c r="B10">
        <v>1</v>
      </c>
      <c r="C10">
        <v>1800</v>
      </c>
    </row>
    <row r="11" spans="1:5">
      <c r="A11" s="9" t="s">
        <v>84</v>
      </c>
      <c r="B11">
        <v>2</v>
      </c>
      <c r="C11">
        <v>1400</v>
      </c>
    </row>
    <row r="12" spans="1:5">
      <c r="A12" s="9" t="s">
        <v>46</v>
      </c>
      <c r="B12">
        <v>1</v>
      </c>
      <c r="C12">
        <v>2000</v>
      </c>
    </row>
    <row r="13" spans="1:5">
      <c r="A13" s="9" t="s">
        <v>86</v>
      </c>
      <c r="B13">
        <v>1</v>
      </c>
      <c r="C13">
        <v>25000</v>
      </c>
    </row>
    <row r="14" spans="1:5">
      <c r="A14" s="9" t="s">
        <v>66</v>
      </c>
      <c r="B14">
        <v>1</v>
      </c>
      <c r="C14">
        <v>8000</v>
      </c>
    </row>
    <row r="15" spans="1:5">
      <c r="A15" s="9" t="s">
        <v>68</v>
      </c>
      <c r="B15">
        <v>2</v>
      </c>
      <c r="C15">
        <v>2400</v>
      </c>
    </row>
    <row r="16" spans="1:5">
      <c r="A16" s="9" t="s">
        <v>52</v>
      </c>
      <c r="B16">
        <v>1</v>
      </c>
      <c r="C16">
        <v>3500</v>
      </c>
    </row>
    <row r="17" spans="1:3">
      <c r="A17" s="9" t="s">
        <v>30</v>
      </c>
      <c r="B17">
        <v>1</v>
      </c>
      <c r="C17">
        <v>2500</v>
      </c>
    </row>
    <row r="18" spans="1:3">
      <c r="A18" s="9" t="s">
        <v>78</v>
      </c>
      <c r="B18">
        <v>1</v>
      </c>
      <c r="C18">
        <v>5000</v>
      </c>
    </row>
    <row r="19" spans="1:3">
      <c r="A19" s="9" t="s">
        <v>56</v>
      </c>
      <c r="B19">
        <v>2</v>
      </c>
      <c r="C19">
        <v>1500</v>
      </c>
    </row>
    <row r="20" spans="1:3">
      <c r="A20" s="9" t="s">
        <v>26</v>
      </c>
      <c r="B20">
        <v>3</v>
      </c>
      <c r="C20">
        <v>900</v>
      </c>
    </row>
    <row r="21" spans="1:3">
      <c r="A21" s="9" t="s">
        <v>16</v>
      </c>
      <c r="B21">
        <v>1</v>
      </c>
      <c r="C21">
        <v>1500</v>
      </c>
    </row>
    <row r="22" spans="1:3">
      <c r="A22" s="9" t="s">
        <v>54</v>
      </c>
      <c r="B22">
        <v>1</v>
      </c>
      <c r="C22">
        <v>2200</v>
      </c>
    </row>
    <row r="23" spans="1:3">
      <c r="A23" s="9" t="s">
        <v>88</v>
      </c>
      <c r="B23">
        <v>1</v>
      </c>
      <c r="C23">
        <v>900</v>
      </c>
    </row>
    <row r="24" spans="1:3">
      <c r="A24" s="9" t="s">
        <v>20</v>
      </c>
      <c r="B24">
        <v>1</v>
      </c>
      <c r="C24">
        <v>1000</v>
      </c>
    </row>
    <row r="25" spans="1:3">
      <c r="A25" s="9" t="s">
        <v>62</v>
      </c>
      <c r="B25">
        <v>1</v>
      </c>
      <c r="C25">
        <v>7000</v>
      </c>
    </row>
    <row r="26" spans="1:3">
      <c r="A26" s="9" t="s">
        <v>38</v>
      </c>
      <c r="B26">
        <v>1</v>
      </c>
      <c r="C26">
        <v>4500</v>
      </c>
    </row>
    <row r="27" spans="1:3">
      <c r="A27" s="9" t="s">
        <v>14</v>
      </c>
      <c r="B27">
        <v>1</v>
      </c>
      <c r="C27">
        <v>800</v>
      </c>
    </row>
    <row r="28" spans="1:3">
      <c r="A28" s="9" t="s">
        <v>72</v>
      </c>
      <c r="B28">
        <v>1</v>
      </c>
      <c r="C28">
        <v>3000</v>
      </c>
    </row>
    <row r="29" spans="1:3">
      <c r="A29" s="9" t="s">
        <v>24</v>
      </c>
      <c r="B29">
        <v>1</v>
      </c>
      <c r="C29">
        <v>4500</v>
      </c>
    </row>
    <row r="30" spans="1:3">
      <c r="A30" s="9" t="s">
        <v>42</v>
      </c>
      <c r="B30">
        <v>2</v>
      </c>
      <c r="C30">
        <v>1800</v>
      </c>
    </row>
    <row r="31" spans="1:3">
      <c r="A31" s="9" t="s">
        <v>22</v>
      </c>
      <c r="B31">
        <v>1</v>
      </c>
      <c r="C31">
        <v>12000</v>
      </c>
    </row>
    <row r="32" spans="1:3">
      <c r="A32" s="9" t="s">
        <v>80</v>
      </c>
      <c r="B32">
        <v>1</v>
      </c>
      <c r="C32">
        <v>4500</v>
      </c>
    </row>
    <row r="33" spans="1:3">
      <c r="A33" s="9" t="s">
        <v>34</v>
      </c>
      <c r="B33">
        <v>1</v>
      </c>
      <c r="C33">
        <v>1200</v>
      </c>
    </row>
    <row r="34" spans="1:3">
      <c r="A34" s="9" t="s">
        <v>48</v>
      </c>
      <c r="B34">
        <v>1</v>
      </c>
      <c r="C34">
        <v>6000</v>
      </c>
    </row>
    <row r="35" spans="1:3">
      <c r="A35" s="9" t="s">
        <v>44</v>
      </c>
      <c r="B35">
        <v>1</v>
      </c>
      <c r="C35">
        <v>3000</v>
      </c>
    </row>
    <row r="36" spans="1:3">
      <c r="A36" s="9" t="s">
        <v>28</v>
      </c>
      <c r="B36">
        <v>1</v>
      </c>
      <c r="C36">
        <v>3200</v>
      </c>
    </row>
    <row r="37" spans="1:3">
      <c r="A37" s="9" t="s">
        <v>64</v>
      </c>
      <c r="B37">
        <v>1</v>
      </c>
      <c r="C37">
        <v>14000</v>
      </c>
    </row>
    <row r="38" spans="1:3">
      <c r="A38" s="9" t="s">
        <v>74</v>
      </c>
      <c r="B38">
        <v>3</v>
      </c>
      <c r="C38">
        <v>1800</v>
      </c>
    </row>
    <row r="39" spans="1:3">
      <c r="A39" s="9" t="s">
        <v>50</v>
      </c>
      <c r="B39">
        <v>1</v>
      </c>
      <c r="C39">
        <v>15000</v>
      </c>
    </row>
    <row r="40" spans="1:3">
      <c r="A40" s="9" t="s">
        <v>70</v>
      </c>
      <c r="B40">
        <v>1</v>
      </c>
      <c r="C40">
        <v>1800</v>
      </c>
    </row>
    <row r="41" spans="1:3">
      <c r="A41" s="9" t="s">
        <v>18</v>
      </c>
      <c r="B41">
        <v>2</v>
      </c>
      <c r="C41">
        <v>5000</v>
      </c>
    </row>
    <row r="42" spans="1:3">
      <c r="A42" s="9" t="s">
        <v>82</v>
      </c>
      <c r="B42">
        <v>1</v>
      </c>
      <c r="C42">
        <v>11000</v>
      </c>
    </row>
    <row r="43" spans="1:3">
      <c r="A43" s="9" t="s">
        <v>94</v>
      </c>
    </row>
    <row r="44" spans="1:3">
      <c r="A44" s="9" t="s">
        <v>7</v>
      </c>
      <c r="B44">
        <v>52</v>
      </c>
      <c r="C44">
        <v>173900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23282-6F04-4C97-AA94-08A36DC48B43}">
  <sheetPr>
    <tabColor theme="8" tint="0.39997558519241921"/>
  </sheetPr>
  <dimension ref="A1:AE29"/>
  <sheetViews>
    <sheetView workbookViewId="0">
      <selection activeCell="G9" sqref="G9"/>
    </sheetView>
  </sheetViews>
  <sheetFormatPr defaultRowHeight="15"/>
  <cols>
    <col min="1" max="1" width="9.85546875" bestFit="1" customWidth="1"/>
    <col min="2" max="2" width="9" bestFit="1" customWidth="1"/>
    <col min="3" max="3" width="10.28515625" customWidth="1"/>
    <col min="4" max="4" width="8.140625" bestFit="1" customWidth="1"/>
    <col min="5" max="5" width="12.7109375" bestFit="1" customWidth="1"/>
    <col min="11" max="11" width="9.85546875" bestFit="1" customWidth="1"/>
  </cols>
  <sheetData>
    <row r="1" spans="1:31" ht="17.25">
      <c r="A1" s="15" t="s">
        <v>100</v>
      </c>
      <c r="B1" s="15"/>
      <c r="C1" s="15"/>
      <c r="D1" s="15"/>
      <c r="E1" s="15"/>
      <c r="H1" s="15" t="s">
        <v>101</v>
      </c>
    </row>
    <row r="2" spans="1:31">
      <c r="A2" s="16" t="s">
        <v>0</v>
      </c>
      <c r="B2" s="16" t="s">
        <v>102</v>
      </c>
      <c r="C2" s="16" t="s">
        <v>95</v>
      </c>
      <c r="D2" s="16" t="s">
        <v>96</v>
      </c>
      <c r="E2" s="16" t="s">
        <v>103</v>
      </c>
      <c r="H2" s="17" t="s">
        <v>104</v>
      </c>
      <c r="R2" s="18" t="s">
        <v>105</v>
      </c>
    </row>
    <row r="3" spans="1:31">
      <c r="A3" s="13" t="s">
        <v>106</v>
      </c>
      <c r="B3" s="13" t="s">
        <v>107</v>
      </c>
      <c r="C3" s="13" t="s">
        <v>2</v>
      </c>
      <c r="D3" s="14">
        <v>80000</v>
      </c>
      <c r="E3" s="19">
        <v>0.1</v>
      </c>
      <c r="H3" s="20">
        <v>30</v>
      </c>
      <c r="J3" s="17" t="s">
        <v>108</v>
      </c>
      <c r="K3" s="1">
        <v>60</v>
      </c>
      <c r="L3" s="1">
        <v>50</v>
      </c>
      <c r="M3" s="1">
        <v>40</v>
      </c>
      <c r="N3" s="1">
        <v>90</v>
      </c>
      <c r="P3" s="1">
        <v>70</v>
      </c>
      <c r="R3" s="1">
        <v>20</v>
      </c>
      <c r="S3" s="1">
        <v>15</v>
      </c>
      <c r="T3" s="1">
        <v>20</v>
      </c>
      <c r="U3" s="1">
        <v>54</v>
      </c>
      <c r="V3" s="1">
        <v>68</v>
      </c>
      <c r="AA3" s="1">
        <v>30</v>
      </c>
      <c r="AB3" s="1">
        <v>25</v>
      </c>
      <c r="AC3" s="1">
        <v>60</v>
      </c>
      <c r="AD3" s="1">
        <v>13</v>
      </c>
      <c r="AE3" s="1">
        <v>10</v>
      </c>
    </row>
    <row r="4" spans="1:31">
      <c r="A4" s="13" t="s">
        <v>109</v>
      </c>
      <c r="B4" s="13" t="s">
        <v>110</v>
      </c>
      <c r="C4" s="13" t="s">
        <v>3</v>
      </c>
      <c r="D4" s="13" t="s">
        <v>111</v>
      </c>
      <c r="E4" s="19">
        <v>0.15</v>
      </c>
      <c r="H4" s="20">
        <v>50</v>
      </c>
      <c r="K4" s="21" t="s">
        <v>112</v>
      </c>
      <c r="P4" s="21" t="s">
        <v>113</v>
      </c>
      <c r="R4" s="1">
        <v>31</v>
      </c>
      <c r="S4" s="1">
        <v>10</v>
      </c>
      <c r="T4" s="1">
        <v>66</v>
      </c>
      <c r="U4" s="1">
        <v>71</v>
      </c>
      <c r="V4" s="1">
        <v>98</v>
      </c>
      <c r="AA4" s="1">
        <v>11</v>
      </c>
      <c r="AB4" s="1">
        <v>25</v>
      </c>
      <c r="AC4" s="1">
        <v>36</v>
      </c>
      <c r="AD4" s="1">
        <v>85</v>
      </c>
      <c r="AE4" s="1">
        <v>98</v>
      </c>
    </row>
    <row r="5" spans="1:31">
      <c r="A5" s="13" t="s">
        <v>114</v>
      </c>
      <c r="B5" s="13" t="s">
        <v>115</v>
      </c>
      <c r="C5" s="13" t="s">
        <v>4</v>
      </c>
      <c r="D5" s="13" t="s">
        <v>116</v>
      </c>
      <c r="E5" s="19">
        <v>0.12</v>
      </c>
      <c r="H5" s="20">
        <v>80</v>
      </c>
      <c r="N5" s="1">
        <v>100</v>
      </c>
      <c r="R5" s="1">
        <v>25</v>
      </c>
      <c r="S5" s="1">
        <v>60</v>
      </c>
      <c r="T5" s="1">
        <v>21</v>
      </c>
      <c r="U5" s="1">
        <v>63</v>
      </c>
      <c r="V5" s="1">
        <v>23</v>
      </c>
      <c r="AA5" s="1">
        <v>58</v>
      </c>
      <c r="AB5" s="1">
        <v>66</v>
      </c>
      <c r="AC5" s="1">
        <v>58</v>
      </c>
      <c r="AD5" s="1"/>
      <c r="AE5" s="1">
        <v>6</v>
      </c>
    </row>
    <row r="6" spans="1:31">
      <c r="A6" s="13" t="s">
        <v>117</v>
      </c>
      <c r="B6" s="13" t="s">
        <v>118</v>
      </c>
      <c r="C6" s="13" t="s">
        <v>6</v>
      </c>
      <c r="D6" s="14">
        <v>90000</v>
      </c>
      <c r="E6" s="19">
        <v>0.08</v>
      </c>
      <c r="H6" s="20">
        <v>70</v>
      </c>
      <c r="K6" s="21" t="s">
        <v>119</v>
      </c>
      <c r="N6" s="1">
        <v>20</v>
      </c>
      <c r="R6" s="1">
        <v>63</v>
      </c>
      <c r="S6" s="1">
        <v>50</v>
      </c>
      <c r="T6" s="1">
        <v>29</v>
      </c>
      <c r="U6" s="1">
        <v>85</v>
      </c>
      <c r="V6" s="1">
        <v>19</v>
      </c>
      <c r="AA6" s="1">
        <v>50</v>
      </c>
      <c r="AB6" s="1">
        <v>51</v>
      </c>
      <c r="AC6" s="1">
        <v>62</v>
      </c>
      <c r="AD6" s="1">
        <v>50</v>
      </c>
      <c r="AE6" s="1">
        <v>5</v>
      </c>
    </row>
    <row r="7" spans="1:31" ht="30.75" thickBot="1">
      <c r="A7" s="22" t="s">
        <v>120</v>
      </c>
      <c r="B7" s="22" t="s">
        <v>121</v>
      </c>
      <c r="C7" s="22" t="s">
        <v>5</v>
      </c>
      <c r="D7" s="22" t="s">
        <v>122</v>
      </c>
      <c r="E7" s="23">
        <v>0.09</v>
      </c>
      <c r="H7" s="20">
        <v>50</v>
      </c>
      <c r="K7" s="21" t="s">
        <v>123</v>
      </c>
      <c r="N7" s="1">
        <v>100</v>
      </c>
      <c r="R7" s="1">
        <v>69</v>
      </c>
      <c r="S7" s="1">
        <v>81</v>
      </c>
      <c r="T7" s="1">
        <v>55</v>
      </c>
      <c r="U7" s="1">
        <v>57</v>
      </c>
      <c r="V7" s="1">
        <v>18</v>
      </c>
      <c r="AA7" s="1">
        <v>19</v>
      </c>
      <c r="AB7" s="1">
        <v>18</v>
      </c>
      <c r="AC7" s="1">
        <v>63</v>
      </c>
      <c r="AD7" s="1">
        <v>711</v>
      </c>
      <c r="AE7" s="1">
        <v>1</v>
      </c>
    </row>
    <row r="8" spans="1:31">
      <c r="H8" s="20">
        <v>50</v>
      </c>
      <c r="K8" s="21" t="s">
        <v>124</v>
      </c>
      <c r="N8" s="1">
        <v>200</v>
      </c>
      <c r="R8" s="1"/>
      <c r="S8" s="1"/>
      <c r="T8" s="1">
        <v>32</v>
      </c>
      <c r="U8" s="1">
        <v>99</v>
      </c>
      <c r="V8" s="1">
        <v>3</v>
      </c>
    </row>
    <row r="9" spans="1:31">
      <c r="A9" s="1" t="s">
        <v>0</v>
      </c>
      <c r="B9" s="1" t="s">
        <v>102</v>
      </c>
      <c r="C9" s="1" t="s">
        <v>95</v>
      </c>
      <c r="D9" s="1" t="s">
        <v>96</v>
      </c>
      <c r="E9" s="1" t="s">
        <v>103</v>
      </c>
      <c r="H9" s="20">
        <v>60</v>
      </c>
      <c r="K9" s="21" t="s">
        <v>125</v>
      </c>
      <c r="N9" s="1">
        <v>90</v>
      </c>
      <c r="R9" s="1">
        <v>55</v>
      </c>
      <c r="S9" s="1">
        <v>58</v>
      </c>
      <c r="T9" s="1">
        <v>21</v>
      </c>
      <c r="U9" s="1">
        <v>69</v>
      </c>
      <c r="V9" s="1">
        <v>63</v>
      </c>
    </row>
    <row r="10" spans="1:31">
      <c r="A10" s="5" t="s">
        <v>106</v>
      </c>
      <c r="B10" s="5" t="s">
        <v>107</v>
      </c>
      <c r="C10" s="5" t="s">
        <v>2</v>
      </c>
      <c r="D10" s="6">
        <v>80000</v>
      </c>
      <c r="E10" s="24">
        <v>0.1</v>
      </c>
      <c r="H10" s="20">
        <v>30</v>
      </c>
      <c r="K10" s="21" t="s">
        <v>126</v>
      </c>
      <c r="N10" s="1">
        <v>190</v>
      </c>
      <c r="R10" s="1">
        <v>70</v>
      </c>
      <c r="S10" s="1">
        <v>66</v>
      </c>
      <c r="T10" s="1">
        <v>29</v>
      </c>
      <c r="U10" s="1">
        <v>58</v>
      </c>
      <c r="V10" s="1">
        <v>84</v>
      </c>
    </row>
    <row r="11" spans="1:31">
      <c r="A11" s="5" t="s">
        <v>109</v>
      </c>
      <c r="B11" s="5" t="s">
        <v>110</v>
      </c>
      <c r="C11" s="5" t="s">
        <v>3</v>
      </c>
      <c r="D11" s="5" t="s">
        <v>111</v>
      </c>
      <c r="E11" s="24">
        <v>0.15</v>
      </c>
      <c r="H11" s="20">
        <v>40</v>
      </c>
      <c r="N11" s="1">
        <v>80</v>
      </c>
    </row>
    <row r="12" spans="1:31" ht="18.75">
      <c r="A12" s="5" t="s">
        <v>114</v>
      </c>
      <c r="B12" s="5" t="s">
        <v>115</v>
      </c>
      <c r="C12" s="5" t="s">
        <v>4</v>
      </c>
      <c r="D12" s="5" t="s">
        <v>116</v>
      </c>
      <c r="E12" s="24">
        <v>0.12</v>
      </c>
      <c r="H12" s="20">
        <v>80</v>
      </c>
      <c r="N12" s="1">
        <v>70</v>
      </c>
      <c r="R12" s="25" t="s">
        <v>127</v>
      </c>
      <c r="T12" s="12" t="s">
        <v>128</v>
      </c>
      <c r="Y12" s="25"/>
    </row>
    <row r="13" spans="1:31">
      <c r="A13" s="5" t="s">
        <v>117</v>
      </c>
      <c r="B13" s="5" t="s">
        <v>118</v>
      </c>
      <c r="C13" s="5" t="s">
        <v>6</v>
      </c>
      <c r="D13" s="6">
        <v>90000</v>
      </c>
      <c r="E13" s="24">
        <v>0.08</v>
      </c>
      <c r="H13" s="26">
        <v>110</v>
      </c>
      <c r="N13" s="1"/>
      <c r="T13" s="12" t="s">
        <v>129</v>
      </c>
    </row>
    <row r="14" spans="1:31" ht="30">
      <c r="A14" s="5" t="s">
        <v>120</v>
      </c>
      <c r="B14" s="5" t="s">
        <v>121</v>
      </c>
      <c r="C14" s="5" t="s">
        <v>5</v>
      </c>
      <c r="D14" s="5" t="s">
        <v>122</v>
      </c>
      <c r="E14" s="24">
        <v>0.09</v>
      </c>
      <c r="H14" s="20">
        <v>25</v>
      </c>
      <c r="T14" s="12" t="s">
        <v>130</v>
      </c>
    </row>
    <row r="15" spans="1:31">
      <c r="A15" s="21" t="s">
        <v>131</v>
      </c>
      <c r="H15" s="20">
        <v>200</v>
      </c>
      <c r="T15" s="12" t="s">
        <v>132</v>
      </c>
    </row>
    <row r="16" spans="1:31">
      <c r="A16" s="21" t="s">
        <v>133</v>
      </c>
      <c r="H16" s="20">
        <v>85</v>
      </c>
      <c r="T16" s="12" t="s">
        <v>134</v>
      </c>
    </row>
    <row r="17" spans="1:20">
      <c r="A17" s="21" t="s">
        <v>135</v>
      </c>
      <c r="T17" s="12" t="s">
        <v>136</v>
      </c>
    </row>
    <row r="18" spans="1:20">
      <c r="A18" s="21" t="s">
        <v>137</v>
      </c>
    </row>
    <row r="19" spans="1:20">
      <c r="A19" s="21" t="s">
        <v>138</v>
      </c>
    </row>
    <row r="20" spans="1:20">
      <c r="A20" s="21" t="s">
        <v>139</v>
      </c>
    </row>
    <row r="21" spans="1:20">
      <c r="A21" s="21"/>
    </row>
    <row r="22" spans="1:20">
      <c r="A22" s="21"/>
    </row>
    <row r="23" spans="1:20">
      <c r="A23" s="21"/>
    </row>
    <row r="24" spans="1:20">
      <c r="A24" s="21"/>
    </row>
    <row r="25" spans="1:20">
      <c r="A25" s="21"/>
    </row>
    <row r="26" spans="1:20">
      <c r="A26" s="21"/>
    </row>
    <row r="27" spans="1:20">
      <c r="A27" s="21"/>
    </row>
    <row r="28" spans="1:20">
      <c r="A28" s="21"/>
    </row>
    <row r="29" spans="1:20">
      <c r="A29" s="21"/>
    </row>
  </sheetData>
  <conditionalFormatting sqref="H3:H16">
    <cfRule type="top10" dxfId="11" priority="9" rank="10"/>
  </conditionalFormatting>
  <conditionalFormatting sqref="H14">
    <cfRule type="iconSet" priority="8">
      <iconSet iconSet="3TrafficLights2">
        <cfvo type="percent" val="0"/>
        <cfvo type="percent" val="33"/>
        <cfvo type="percent" val="67"/>
      </iconSet>
    </cfRule>
  </conditionalFormatting>
  <conditionalFormatting sqref="K3:N3">
    <cfRule type="cellIs" dxfId="10" priority="7" operator="greaterThan">
      <formula>50</formula>
    </cfRule>
    <cfRule type="cellIs" dxfId="9" priority="12" operator="lessThan">
      <formula>60</formula>
    </cfRule>
    <cfRule type="cellIs" dxfId="8" priority="13" operator="lessThan">
      <formula>60</formula>
    </cfRule>
  </conditionalFormatting>
  <conditionalFormatting sqref="N5">
    <cfRule type="expression" dxfId="7" priority="6">
      <formula>$N$5&gt;60</formula>
    </cfRule>
  </conditionalFormatting>
  <conditionalFormatting sqref="P3">
    <cfRule type="cellIs" dxfId="6" priority="11" operator="greaterThan">
      <formula>60</formula>
    </cfRule>
  </conditionalFormatting>
  <conditionalFormatting sqref="R3:V10">
    <cfRule type="expression" dxfId="5" priority="10">
      <formula>ISODD(R3)</formula>
    </cfRule>
  </conditionalFormatting>
  <conditionalFormatting sqref="X11:Y11">
    <cfRule type="expression" dxfId="4" priority="5">
      <formula>ISODD(X11)</formula>
    </cfRule>
  </conditionalFormatting>
  <conditionalFormatting sqref="X3:Z7 X8:Y10">
    <cfRule type="expression" dxfId="3" priority="4">
      <formula>ISODD(X3)</formula>
    </cfRule>
  </conditionalFormatting>
  <conditionalFormatting sqref="AA3:AE7">
    <cfRule type="expression" dxfId="2" priority="1">
      <formula>ISODD(AA3)</formula>
    </cfRule>
    <cfRule type="expression" dxfId="1" priority="2">
      <formula>ISOOD(AA3)</formula>
    </cfRule>
    <cfRule type="expression" dxfId="0" priority="3">
      <formula>ISOOD(AA3)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01C2-7283-4F4D-88ED-141E6189AB4F}">
  <sheetPr>
    <tabColor rgb="FFFFFF00"/>
  </sheetPr>
  <dimension ref="A1:R18"/>
  <sheetViews>
    <sheetView workbookViewId="0">
      <selection activeCell="K12" sqref="K12"/>
    </sheetView>
  </sheetViews>
  <sheetFormatPr defaultRowHeight="15"/>
  <cols>
    <col min="3" max="3" width="9.42578125" bestFit="1" customWidth="1"/>
    <col min="5" max="5" width="12" customWidth="1"/>
    <col min="7" max="7" width="14" customWidth="1"/>
    <col min="14" max="14" width="19" customWidth="1"/>
    <col min="15" max="15" width="11.85546875" customWidth="1"/>
    <col min="18" max="18" width="11.85546875" customWidth="1"/>
  </cols>
  <sheetData>
    <row r="1" spans="1:18">
      <c r="A1" s="11" t="s">
        <v>140</v>
      </c>
    </row>
    <row r="2" spans="1:18" ht="17.25">
      <c r="A2" s="28" t="s">
        <v>141</v>
      </c>
    </row>
    <row r="3" spans="1:18" ht="15.75" thickBot="1">
      <c r="R3" s="29" t="s">
        <v>142</v>
      </c>
    </row>
    <row r="4" spans="1:18" ht="15.75" thickBot="1">
      <c r="A4" s="88" t="s">
        <v>143</v>
      </c>
      <c r="B4" s="89"/>
      <c r="C4" s="89"/>
      <c r="D4" s="90"/>
      <c r="E4" s="30">
        <v>1</v>
      </c>
      <c r="G4" s="21" t="s">
        <v>144</v>
      </c>
      <c r="L4" s="91" t="s">
        <v>143</v>
      </c>
      <c r="M4" s="91"/>
      <c r="N4" s="91"/>
      <c r="O4" s="31">
        <v>14</v>
      </c>
      <c r="R4" s="2">
        <v>21</v>
      </c>
    </row>
    <row r="5" spans="1:18">
      <c r="G5" s="21" t="s">
        <v>145</v>
      </c>
      <c r="R5" s="2">
        <v>30</v>
      </c>
    </row>
    <row r="6" spans="1:18" ht="15.75" thickBot="1">
      <c r="G6" s="21" t="s">
        <v>146</v>
      </c>
      <c r="R6" s="2">
        <v>34</v>
      </c>
    </row>
    <row r="7" spans="1:18">
      <c r="A7" s="92" t="s">
        <v>147</v>
      </c>
      <c r="B7" s="93"/>
      <c r="C7" s="32">
        <v>45691</v>
      </c>
      <c r="E7" s="33"/>
      <c r="L7" s="98" t="s">
        <v>148</v>
      </c>
      <c r="M7" s="99"/>
      <c r="N7" s="100"/>
      <c r="O7" s="34">
        <v>45689</v>
      </c>
      <c r="R7" s="2">
        <v>35</v>
      </c>
    </row>
    <row r="8" spans="1:18">
      <c r="A8" s="94"/>
      <c r="B8" s="95"/>
      <c r="C8" s="35">
        <v>45693</v>
      </c>
      <c r="E8" s="33"/>
      <c r="L8" s="101"/>
      <c r="M8" s="102"/>
      <c r="N8" s="103"/>
      <c r="O8" s="36"/>
      <c r="R8" s="2">
        <v>25</v>
      </c>
    </row>
    <row r="9" spans="1:18">
      <c r="A9" s="94"/>
      <c r="B9" s="95"/>
      <c r="C9" s="35">
        <v>45692</v>
      </c>
      <c r="E9" s="37"/>
      <c r="L9" s="101"/>
      <c r="M9" s="102"/>
      <c r="N9" s="103"/>
      <c r="O9" s="36"/>
      <c r="R9" s="2"/>
    </row>
    <row r="10" spans="1:18">
      <c r="A10" s="94"/>
      <c r="B10" s="95"/>
      <c r="C10" s="35">
        <v>45700</v>
      </c>
      <c r="E10" s="37"/>
      <c r="H10" s="27"/>
      <c r="L10" s="101"/>
      <c r="M10" s="102"/>
      <c r="N10" s="103"/>
      <c r="O10" s="36"/>
      <c r="R10" s="2"/>
    </row>
    <row r="11" spans="1:18">
      <c r="A11" s="94"/>
      <c r="B11" s="95"/>
      <c r="C11" s="38"/>
      <c r="E11" s="37"/>
      <c r="L11" s="101"/>
      <c r="M11" s="102"/>
      <c r="N11" s="103"/>
      <c r="O11" s="36"/>
      <c r="R11" s="2"/>
    </row>
    <row r="12" spans="1:18" ht="15.75" thickBot="1">
      <c r="A12" s="96"/>
      <c r="B12" s="97"/>
      <c r="C12" s="39"/>
      <c r="E12" s="37"/>
      <c r="H12" s="40">
        <v>100</v>
      </c>
      <c r="L12" s="101"/>
      <c r="M12" s="102"/>
      <c r="N12" s="103"/>
      <c r="O12" s="36"/>
      <c r="R12" s="2"/>
    </row>
    <row r="13" spans="1:18" ht="15.75" thickBot="1">
      <c r="E13" s="37"/>
      <c r="H13" s="40"/>
      <c r="L13" s="104"/>
      <c r="M13" s="105"/>
      <c r="N13" s="106"/>
      <c r="O13" s="36"/>
      <c r="R13" s="2"/>
    </row>
    <row r="14" spans="1:18">
      <c r="E14" s="37"/>
      <c r="H14" s="40"/>
      <c r="R14" s="2"/>
    </row>
    <row r="15" spans="1:18">
      <c r="E15" s="37"/>
      <c r="H15" s="40"/>
      <c r="R15" s="2"/>
    </row>
    <row r="16" spans="1:18">
      <c r="E16" s="37"/>
      <c r="H16" s="40"/>
    </row>
    <row r="17" spans="5:5">
      <c r="E17" s="37"/>
    </row>
    <row r="18" spans="5:5">
      <c r="E18" s="37"/>
    </row>
  </sheetData>
  <mergeCells count="4">
    <mergeCell ref="A4:D4"/>
    <mergeCell ref="L4:N4"/>
    <mergeCell ref="A7:B12"/>
    <mergeCell ref="L7:N13"/>
  </mergeCells>
  <dataValidations count="8">
    <dataValidation type="whole" allowBlank="1" showInputMessage="1" showErrorMessage="1" errorTitle="Put Correct Age" error="Please Enter Age between 21 To 35" promptTitle="Enter Age" prompt="Put Age between 21 to 35 Only" sqref="R4:R15" xr:uid="{22C8F1C5-F6BD-4691-A167-BF928609C77B}">
      <formula1>21</formula1>
      <formula2>35</formula2>
    </dataValidation>
    <dataValidation type="custom" showInputMessage="1" showErrorMessage="1" errorTitle="Put Correct Value" error="Kindly put number in multipal of 100" promptTitle="Enter number in multiple of 100" prompt="Example 100,200,300 etc..." sqref="H12:H16" xr:uid="{4A6764EB-3995-45DA-B483-698596383BFC}">
      <formula1>(H12:H16)*100</formula1>
    </dataValidation>
    <dataValidation type="date" allowBlank="1" showInputMessage="1" showErrorMessage="1" errorTitle="wrong date" error="please enter correct date" promptTitle="please enter date of Feb" prompt="kindly enter date between 1-feb to 15-feb" sqref="E7:E18" xr:uid="{C745B528-B8C6-44F2-8E4A-16FAAB97858B}">
      <formula1>45689</formula1>
      <formula2>45703</formula2>
    </dataValidation>
    <dataValidation type="whole" allowBlank="1" showInputMessage="1" showErrorMessage="1" errorTitle="stop wrong number" error="enter valid number between 1 to 30" promptTitle="kindly put the number" prompt="please enter number btween 1 to 30" sqref="H10" xr:uid="{1681845C-ADAB-409A-A6B5-ABF589216A42}">
      <formula1>1</formula1>
      <formula2>30</formula2>
    </dataValidation>
    <dataValidation type="date" allowBlank="1" showInputMessage="1" showErrorMessage="1" errorTitle="Wrong Data" error="Put The Correct Exam Date" promptTitle="Please Enter Exam Date" prompt="Enter Date Between 1/2/2025 To 15/2/2025" sqref="O7:O13" xr:uid="{AA2FD5C6-8178-4A98-95ED-28BFCB9FF98D}">
      <formula1>45689</formula1>
      <formula2>45703</formula2>
    </dataValidation>
    <dataValidation type="whole" allowBlank="1" showInputMessage="1" showErrorMessage="1" errorTitle="Wrong Number" error="Please put correct number" promptTitle="Type Correct Number of ball" prompt="Put number of ball between 0 to 15 only" sqref="O4" xr:uid="{B52CD746-D669-426C-AA27-0EA9142528C6}">
      <formula1>0</formula1>
      <formula2>15</formula2>
    </dataValidation>
    <dataValidation type="date" allowBlank="1" showInputMessage="1" showErrorMessage="1" errorTitle="wrong date" error="yor have enter wrong date" promptTitle="Select the date" prompt="please enter date between 1 to 15 only" sqref="C7:C12" xr:uid="{C3B946BF-FF64-47D5-9918-9CC419FC23D2}">
      <formula1>45689</formula1>
      <formula2>45703</formula2>
    </dataValidation>
    <dataValidation type="whole" allowBlank="1" showInputMessage="1" showErrorMessage="1" errorTitle="Not a valid number" error="Please hold correct number of ball" promptTitle="Numbers of ball" prompt="_x000a_Please enter a whole number between 0 to 9" sqref="E4" xr:uid="{0BDD33CF-A2BC-40B2-99FB-ADE80A3D72A1}">
      <formula1>0</formula1>
      <formula2>9</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2A08C-DDD1-4469-B6C5-18964EE8FEE2}">
  <sheetPr>
    <tabColor theme="3" tint="0.499984740745262"/>
  </sheetPr>
  <dimension ref="A1:O38"/>
  <sheetViews>
    <sheetView workbookViewId="0">
      <selection activeCell="M16" sqref="M16"/>
    </sheetView>
  </sheetViews>
  <sheetFormatPr defaultRowHeight="15"/>
  <cols>
    <col min="1" max="1" width="27.5703125" customWidth="1"/>
    <col min="2" max="2" width="9.42578125" bestFit="1" customWidth="1"/>
    <col min="3" max="3" width="18.42578125" customWidth="1"/>
    <col min="5" max="5" width="9.5703125" bestFit="1" customWidth="1"/>
    <col min="6" max="6" width="10.42578125" bestFit="1" customWidth="1"/>
    <col min="10" max="10" width="17.85546875" customWidth="1"/>
    <col min="12" max="12" width="10.28515625" bestFit="1" customWidth="1"/>
    <col min="14" max="14" width="14.5703125" bestFit="1" customWidth="1"/>
    <col min="15" max="15" width="16.5703125" customWidth="1"/>
  </cols>
  <sheetData>
    <row r="1" spans="1:15">
      <c r="A1" s="41"/>
      <c r="B1" s="11" t="s">
        <v>149</v>
      </c>
      <c r="C1" s="11"/>
    </row>
    <row r="2" spans="1:15" ht="17.25">
      <c r="A2" s="41"/>
      <c r="B2" s="42" t="s">
        <v>150</v>
      </c>
      <c r="C2" s="11"/>
    </row>
    <row r="3" spans="1:15">
      <c r="A3" s="41" t="s">
        <v>151</v>
      </c>
      <c r="B3" s="11"/>
      <c r="C3" s="11"/>
    </row>
    <row r="4" spans="1:15" ht="17.25">
      <c r="A4" s="43">
        <v>45708</v>
      </c>
      <c r="B4" s="42" t="s">
        <v>152</v>
      </c>
      <c r="J4" s="41"/>
      <c r="K4" s="11" t="s">
        <v>153</v>
      </c>
      <c r="N4" s="44"/>
    </row>
    <row r="5" spans="1:15" ht="17.25">
      <c r="A5" s="45">
        <v>45708</v>
      </c>
      <c r="B5" s="42" t="s">
        <v>154</v>
      </c>
      <c r="J5" s="46">
        <f ca="1">NOW()</f>
        <v>46162.036917129626</v>
      </c>
      <c r="K5" s="47" t="s">
        <v>155</v>
      </c>
      <c r="L5" s="47"/>
      <c r="M5" s="47"/>
      <c r="N5" s="10"/>
      <c r="O5" s="48"/>
    </row>
    <row r="6" spans="1:15">
      <c r="A6" s="41"/>
      <c r="J6" s="49">
        <f ca="1">TODAY()</f>
        <v>46162</v>
      </c>
      <c r="K6" s="47" t="s">
        <v>156</v>
      </c>
      <c r="L6" s="47"/>
      <c r="M6" s="47"/>
      <c r="N6" s="10"/>
      <c r="O6" s="48"/>
    </row>
    <row r="7" spans="1:15">
      <c r="A7" s="49">
        <v>47534</v>
      </c>
      <c r="B7" s="50">
        <f>YEAR(A7)</f>
        <v>2030</v>
      </c>
      <c r="C7" s="51" t="s">
        <v>157</v>
      </c>
      <c r="J7" s="46">
        <f ca="1">NOW()</f>
        <v>46162.036917129626</v>
      </c>
      <c r="K7" s="50">
        <f ca="1">HOUR(J7)</f>
        <v>0</v>
      </c>
      <c r="L7" s="47" t="s">
        <v>158</v>
      </c>
      <c r="M7" s="47"/>
      <c r="O7" s="52"/>
    </row>
    <row r="8" spans="1:15">
      <c r="A8" s="53">
        <v>45797</v>
      </c>
      <c r="B8" s="50">
        <f>MONTH(A8)</f>
        <v>5</v>
      </c>
      <c r="C8" s="51" t="s">
        <v>159</v>
      </c>
      <c r="J8" s="54">
        <f ca="1">NOW()</f>
        <v>46162.036917129626</v>
      </c>
      <c r="K8" s="50">
        <f ca="1">MINUTE(J8)</f>
        <v>53</v>
      </c>
      <c r="L8" s="47" t="s">
        <v>160</v>
      </c>
      <c r="M8" s="47"/>
      <c r="O8" s="52"/>
    </row>
    <row r="9" spans="1:15">
      <c r="A9" s="49">
        <v>45708</v>
      </c>
      <c r="B9" s="50">
        <f>DAY(A9)</f>
        <v>20</v>
      </c>
      <c r="C9" s="51" t="s">
        <v>161</v>
      </c>
      <c r="J9" s="55">
        <f ca="1">NOW()</f>
        <v>46162.036917129626</v>
      </c>
      <c r="K9" s="50">
        <f ca="1">SECOND(J9)</f>
        <v>10</v>
      </c>
      <c r="L9" s="47" t="s">
        <v>162</v>
      </c>
      <c r="M9" s="47"/>
      <c r="O9" s="52"/>
    </row>
    <row r="10" spans="1:15">
      <c r="A10" s="41"/>
      <c r="H10" s="56"/>
      <c r="J10" s="57">
        <v>0.26770833333333333</v>
      </c>
      <c r="K10" s="50">
        <f>SECOND(J10)</f>
        <v>30</v>
      </c>
      <c r="L10" s="47"/>
      <c r="M10" s="47"/>
      <c r="O10" s="52"/>
    </row>
    <row r="11" spans="1:15">
      <c r="A11" s="41"/>
      <c r="J11" s="41"/>
    </row>
    <row r="12" spans="1:15">
      <c r="A12" s="41"/>
      <c r="B12" s="11" t="s">
        <v>163</v>
      </c>
      <c r="J12" s="41"/>
      <c r="K12" s="11" t="s">
        <v>164</v>
      </c>
    </row>
    <row r="13" spans="1:15">
      <c r="A13" s="58">
        <v>45709</v>
      </c>
      <c r="B13" s="59">
        <v>2</v>
      </c>
      <c r="C13" s="60">
        <f>A13+B13</f>
        <v>45711</v>
      </c>
      <c r="D13" s="61" t="s">
        <v>165</v>
      </c>
      <c r="E13" s="61"/>
      <c r="F13" s="61" t="s">
        <v>166</v>
      </c>
      <c r="G13" s="61"/>
      <c r="H13" s="61"/>
      <c r="J13" s="57">
        <v>0.26770833333333333</v>
      </c>
      <c r="K13" s="62">
        <f>TIME(HOUR(J13)+2,MINUTE(J13)+3,SECOND(J13)+4)</f>
        <v>0.35317129629629629</v>
      </c>
      <c r="M13" t="s">
        <v>167</v>
      </c>
    </row>
    <row r="14" spans="1:15">
      <c r="A14" s="63"/>
      <c r="B14" s="59"/>
      <c r="C14" s="61"/>
      <c r="D14" s="61"/>
      <c r="E14" s="61"/>
      <c r="F14" s="61"/>
      <c r="G14" s="61"/>
      <c r="H14" s="61"/>
      <c r="J14" s="41"/>
    </row>
    <row r="15" spans="1:15">
      <c r="A15" s="58">
        <v>45709</v>
      </c>
      <c r="B15" s="64">
        <f>DATE(YEAR(A15)+4,MONTH(A15)+4,DAY(A15)+5)</f>
        <v>47295</v>
      </c>
      <c r="C15" s="61"/>
      <c r="D15" s="61" t="s">
        <v>168</v>
      </c>
      <c r="E15" s="61"/>
      <c r="F15" s="61"/>
      <c r="G15" s="61"/>
      <c r="H15" s="61"/>
      <c r="J15" s="41"/>
      <c r="L15" s="65"/>
    </row>
    <row r="16" spans="1:15">
      <c r="A16" s="41"/>
      <c r="J16" s="41"/>
    </row>
    <row r="17" spans="1:10">
      <c r="A17" s="41"/>
      <c r="C17" s="10"/>
      <c r="J17" s="41"/>
    </row>
    <row r="18" spans="1:10">
      <c r="A18" s="41"/>
      <c r="C18" s="10"/>
      <c r="F18" s="10"/>
      <c r="J18" s="41"/>
    </row>
    <row r="19" spans="1:10">
      <c r="A19" s="41"/>
      <c r="C19" s="66"/>
      <c r="D19" s="67"/>
      <c r="E19" s="68"/>
      <c r="F19" s="10"/>
      <c r="J19" s="41"/>
    </row>
    <row r="20" spans="1:10">
      <c r="A20" s="41"/>
      <c r="F20" s="10"/>
      <c r="J20" s="41"/>
    </row>
    <row r="21" spans="1:10">
      <c r="A21" s="41"/>
      <c r="F21" s="10"/>
      <c r="J21" s="41"/>
    </row>
    <row r="22" spans="1:10">
      <c r="F22" s="10"/>
    </row>
    <row r="23" spans="1:10">
      <c r="F23" s="10"/>
    </row>
    <row r="24" spans="1:10">
      <c r="A24" s="41"/>
      <c r="F24" s="10"/>
    </row>
    <row r="25" spans="1:10">
      <c r="A25" s="41"/>
      <c r="F25" s="10"/>
    </row>
    <row r="26" spans="1:10">
      <c r="A26" s="41"/>
      <c r="F26" s="10"/>
    </row>
    <row r="27" spans="1:10">
      <c r="A27" s="41"/>
      <c r="F27" s="10"/>
    </row>
    <row r="28" spans="1:10">
      <c r="A28" s="41"/>
      <c r="F28" s="10"/>
    </row>
    <row r="29" spans="1:10">
      <c r="F29" s="10"/>
    </row>
    <row r="30" spans="1:10">
      <c r="F30" s="10"/>
    </row>
    <row r="31" spans="1:10">
      <c r="F31" s="10"/>
    </row>
    <row r="32" spans="1:10">
      <c r="F32" s="10"/>
    </row>
    <row r="33" spans="6:6">
      <c r="F33" s="10"/>
    </row>
    <row r="34" spans="6:6">
      <c r="F34" s="10"/>
    </row>
    <row r="35" spans="6:6">
      <c r="F35" s="10"/>
    </row>
    <row r="36" spans="6:6">
      <c r="F36" s="10"/>
    </row>
    <row r="37" spans="6:6">
      <c r="F37" s="10"/>
    </row>
    <row r="38" spans="6:6">
      <c r="F38"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A27C-FEEE-4A57-B8AB-28C90E13442E}">
  <sheetPr>
    <tabColor theme="5" tint="0.39997558519241921"/>
  </sheetPr>
  <dimension ref="A1:T26"/>
  <sheetViews>
    <sheetView workbookViewId="0">
      <selection activeCell="U11" sqref="U11"/>
    </sheetView>
  </sheetViews>
  <sheetFormatPr defaultRowHeight="15"/>
  <cols>
    <col min="1" max="1" width="13.28515625" customWidth="1"/>
    <col min="3" max="3" width="12.140625" bestFit="1" customWidth="1"/>
    <col min="9" max="9" width="12.140625" customWidth="1"/>
    <col min="10" max="10" width="11.28515625" bestFit="1" customWidth="1"/>
  </cols>
  <sheetData>
    <row r="1" spans="1:20" ht="17.25">
      <c r="A1" s="15" t="s">
        <v>169</v>
      </c>
      <c r="F1" s="69" t="s">
        <v>170</v>
      </c>
    </row>
    <row r="2" spans="1:20" ht="17.25">
      <c r="A2" s="3" t="s">
        <v>171</v>
      </c>
      <c r="F2" s="3" t="s">
        <v>172</v>
      </c>
      <c r="I2" s="3" t="s">
        <v>173</v>
      </c>
      <c r="N2" s="3" t="s">
        <v>203</v>
      </c>
      <c r="T2" s="3" t="s">
        <v>217</v>
      </c>
    </row>
    <row r="3" spans="1:20">
      <c r="A3" s="70" t="s">
        <v>174</v>
      </c>
      <c r="B3" s="70" t="s">
        <v>175</v>
      </c>
      <c r="C3" s="70" t="str">
        <f>A3&amp;" "&amp;B3</f>
        <v>Hello World</v>
      </c>
      <c r="F3" s="37" t="s">
        <v>174</v>
      </c>
      <c r="G3" s="37" t="str">
        <f>LEFT(F3,2)</f>
        <v>He</v>
      </c>
      <c r="I3" s="71" t="s">
        <v>174</v>
      </c>
      <c r="J3" s="71">
        <f>LEN(I3)</f>
        <v>5</v>
      </c>
      <c r="N3" s="71" t="s">
        <v>174</v>
      </c>
      <c r="O3" s="1" t="str">
        <f>UPPER(N3)</f>
        <v>HELLO</v>
      </c>
      <c r="P3" s="1" t="str">
        <f>LOWER(N3)</f>
        <v>hello</v>
      </c>
      <c r="Q3" s="1" t="str">
        <f>PROPER(N3)</f>
        <v>Hello</v>
      </c>
      <c r="T3" t="s">
        <v>218</v>
      </c>
    </row>
    <row r="4" spans="1:20">
      <c r="A4" s="70" t="s">
        <v>176</v>
      </c>
      <c r="B4" s="70" t="s">
        <v>177</v>
      </c>
      <c r="C4" s="70" t="str">
        <f t="shared" ref="C4:C5" si="0">A4&amp;" "&amp;B4</f>
        <v>Ram Kumar</v>
      </c>
      <c r="F4" s="37" t="s">
        <v>176</v>
      </c>
      <c r="G4" s="37" t="str">
        <f t="shared" ref="G4:G5" si="1">LEFT(F4,2)</f>
        <v>Ra</v>
      </c>
      <c r="I4" s="71" t="s">
        <v>176</v>
      </c>
      <c r="J4" s="71">
        <f t="shared" ref="J4:J5" si="2">LEN(I4)</f>
        <v>3</v>
      </c>
      <c r="N4" s="71" t="s">
        <v>176</v>
      </c>
      <c r="O4" s="1" t="str">
        <f t="shared" ref="O4:O5" si="3">UPPER(N4)</f>
        <v>RAM</v>
      </c>
      <c r="P4" s="1" t="str">
        <f t="shared" ref="P4:P5" si="4">LOWER(N4)</f>
        <v>ram</v>
      </c>
      <c r="Q4" s="1" t="str">
        <f t="shared" ref="Q4:Q5" si="5">PROPER(N4)</f>
        <v>Ram</v>
      </c>
      <c r="T4" s="73" t="s">
        <v>219</v>
      </c>
    </row>
    <row r="5" spans="1:20">
      <c r="A5" s="70" t="s">
        <v>178</v>
      </c>
      <c r="B5" s="70" t="s">
        <v>179</v>
      </c>
      <c r="C5" s="70" t="str">
        <f t="shared" si="0"/>
        <v>Shyam Singh</v>
      </c>
      <c r="F5" s="37" t="s">
        <v>178</v>
      </c>
      <c r="G5" s="37" t="str">
        <f t="shared" si="1"/>
        <v>Sh</v>
      </c>
      <c r="I5" s="71" t="s">
        <v>178</v>
      </c>
      <c r="J5" s="71">
        <f t="shared" si="2"/>
        <v>5</v>
      </c>
      <c r="N5" s="71" t="s">
        <v>178</v>
      </c>
      <c r="O5" s="1" t="str">
        <f t="shared" si="3"/>
        <v>SHYAM</v>
      </c>
      <c r="P5" s="1" t="str">
        <f t="shared" si="4"/>
        <v>shyam</v>
      </c>
      <c r="Q5" s="1" t="str">
        <f t="shared" si="5"/>
        <v>Shyam</v>
      </c>
      <c r="T5" s="73" t="s">
        <v>220</v>
      </c>
    </row>
    <row r="6" spans="1:20" ht="17.25">
      <c r="I6" s="69" t="s">
        <v>180</v>
      </c>
    </row>
    <row r="7" spans="1:20" ht="18.75">
      <c r="A7" s="25" t="s">
        <v>181</v>
      </c>
      <c r="F7" s="25" t="s">
        <v>182</v>
      </c>
      <c r="I7" s="25" t="s">
        <v>183</v>
      </c>
      <c r="N7" t="s">
        <v>204</v>
      </c>
      <c r="T7" s="75" t="s">
        <v>211</v>
      </c>
    </row>
    <row r="8" spans="1:20">
      <c r="N8" s="72"/>
      <c r="T8" s="73" t="s">
        <v>221</v>
      </c>
    </row>
    <row r="9" spans="1:20" ht="17.25">
      <c r="A9" s="3" t="s">
        <v>184</v>
      </c>
      <c r="F9" s="3" t="s">
        <v>185</v>
      </c>
      <c r="I9" s="3" t="s">
        <v>186</v>
      </c>
      <c r="N9" s="74" t="s">
        <v>205</v>
      </c>
    </row>
    <row r="10" spans="1:20">
      <c r="A10" s="70" t="s">
        <v>187</v>
      </c>
      <c r="B10" s="70" t="s">
        <v>174</v>
      </c>
      <c r="C10" s="70" t="s">
        <v>175</v>
      </c>
      <c r="F10" s="37" t="s">
        <v>174</v>
      </c>
      <c r="G10" s="37" t="str">
        <f>RIGHT(F10,2)</f>
        <v>lo</v>
      </c>
      <c r="I10" s="71" t="s">
        <v>174</v>
      </c>
      <c r="J10" s="71">
        <f>FIND("l",I10)</f>
        <v>3</v>
      </c>
      <c r="N10" s="74" t="s">
        <v>206</v>
      </c>
    </row>
    <row r="11" spans="1:20">
      <c r="A11" s="70" t="s">
        <v>188</v>
      </c>
      <c r="B11" s="70" t="s">
        <v>176</v>
      </c>
      <c r="C11" s="70" t="s">
        <v>177</v>
      </c>
      <c r="F11" s="37" t="s">
        <v>176</v>
      </c>
      <c r="G11" s="37" t="str">
        <f t="shared" ref="G11:G12" si="6">RIGHT(F11,2)</f>
        <v>am</v>
      </c>
      <c r="I11" s="71" t="s">
        <v>176</v>
      </c>
      <c r="J11" s="71">
        <f>FIND("a",I11)</f>
        <v>2</v>
      </c>
      <c r="N11" t="s">
        <v>207</v>
      </c>
    </row>
    <row r="12" spans="1:20">
      <c r="A12" s="70" t="s">
        <v>189</v>
      </c>
      <c r="B12" s="70" t="s">
        <v>178</v>
      </c>
      <c r="C12" s="70" t="s">
        <v>190</v>
      </c>
      <c r="F12" s="37" t="s">
        <v>178</v>
      </c>
      <c r="G12" s="37" t="str">
        <f t="shared" si="6"/>
        <v>am</v>
      </c>
      <c r="I12" s="71" t="s">
        <v>178</v>
      </c>
      <c r="J12" s="71">
        <f>FIND("y",I12)</f>
        <v>3</v>
      </c>
    </row>
    <row r="13" spans="1:20" ht="17.25">
      <c r="I13" s="69" t="s">
        <v>191</v>
      </c>
    </row>
    <row r="14" spans="1:20" ht="18.75">
      <c r="A14" s="25" t="s">
        <v>192</v>
      </c>
      <c r="F14" s="25" t="s">
        <v>193</v>
      </c>
      <c r="I14" s="25" t="s">
        <v>194</v>
      </c>
      <c r="N14" s="3" t="s">
        <v>208</v>
      </c>
    </row>
    <row r="15" spans="1:20" ht="18.75">
      <c r="A15" s="25" t="s">
        <v>195</v>
      </c>
      <c r="N15" t="s">
        <v>209</v>
      </c>
    </row>
    <row r="16" spans="1:20" ht="18.75">
      <c r="A16" s="25" t="s">
        <v>196</v>
      </c>
      <c r="F16" s="3" t="s">
        <v>197</v>
      </c>
      <c r="I16" s="3" t="s">
        <v>198</v>
      </c>
      <c r="N16" s="75" t="s">
        <v>210</v>
      </c>
    </row>
    <row r="17" spans="1:14" ht="18.75">
      <c r="A17" s="25" t="s">
        <v>199</v>
      </c>
      <c r="F17" s="37" t="s">
        <v>174</v>
      </c>
      <c r="G17" s="37" t="str">
        <f>MID(F17,2,2)</f>
        <v>el</v>
      </c>
      <c r="I17" s="71" t="s">
        <v>200</v>
      </c>
      <c r="J17" s="71" t="str">
        <f>SUBSTITUTE(I17,"Kumari","Kumar")</f>
        <v>Ram Kumar</v>
      </c>
      <c r="N17" s="75" t="s">
        <v>211</v>
      </c>
    </row>
    <row r="18" spans="1:14">
      <c r="F18" s="37" t="s">
        <v>176</v>
      </c>
      <c r="G18" s="37" t="str">
        <f t="shared" ref="G18:G19" si="7">MID(F18,2,2)</f>
        <v>am</v>
      </c>
      <c r="I18" s="71" t="s">
        <v>200</v>
      </c>
      <c r="J18" s="71" t="str">
        <f>SUBSTITUTE(I18,"kumari","kumar")</f>
        <v>Ram Kumari</v>
      </c>
      <c r="N18" s="73" t="s">
        <v>212</v>
      </c>
    </row>
    <row r="19" spans="1:14">
      <c r="F19" s="37" t="s">
        <v>178</v>
      </c>
      <c r="G19" s="37" t="str">
        <f t="shared" si="7"/>
        <v>hy</v>
      </c>
    </row>
    <row r="20" spans="1:14" ht="18.75">
      <c r="I20" s="25" t="s">
        <v>201</v>
      </c>
    </row>
    <row r="21" spans="1:14" ht="18.75">
      <c r="F21" s="25" t="s">
        <v>202</v>
      </c>
      <c r="N21" s="3" t="s">
        <v>216</v>
      </c>
    </row>
    <row r="23" spans="1:14">
      <c r="N23" t="s">
        <v>213</v>
      </c>
    </row>
    <row r="24" spans="1:14">
      <c r="N24" s="75" t="s">
        <v>214</v>
      </c>
    </row>
    <row r="25" spans="1:14">
      <c r="N25" s="75" t="s">
        <v>211</v>
      </c>
    </row>
    <row r="26" spans="1:14">
      <c r="N26" s="73" t="s">
        <v>215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36F9-8823-4FD1-A7A8-6F767B837CB6}">
  <sheetPr>
    <tabColor rgb="FF66FF66"/>
  </sheetPr>
  <dimension ref="A1:N24"/>
  <sheetViews>
    <sheetView workbookViewId="0">
      <selection activeCell="E5" sqref="E5"/>
    </sheetView>
  </sheetViews>
  <sheetFormatPr defaultRowHeight="15"/>
  <sheetData>
    <row r="1" spans="1:14" ht="18">
      <c r="A1" s="11" t="s">
        <v>222</v>
      </c>
      <c r="B1" t="s">
        <v>223</v>
      </c>
      <c r="H1" s="76" t="s">
        <v>245</v>
      </c>
      <c r="N1" s="76" t="s">
        <v>265</v>
      </c>
    </row>
    <row r="2" spans="1:14">
      <c r="A2" s="11" t="s">
        <v>224</v>
      </c>
      <c r="B2" t="s">
        <v>225</v>
      </c>
      <c r="H2" s="77" t="s">
        <v>246</v>
      </c>
      <c r="N2" s="78"/>
    </row>
    <row r="3" spans="1:14">
      <c r="A3" s="11" t="s">
        <v>226</v>
      </c>
      <c r="B3" t="s">
        <v>227</v>
      </c>
      <c r="H3" s="77" t="s">
        <v>247</v>
      </c>
      <c r="N3" s="77" t="s">
        <v>266</v>
      </c>
    </row>
    <row r="4" spans="1:14">
      <c r="A4" s="11" t="s">
        <v>228</v>
      </c>
      <c r="B4" t="s">
        <v>229</v>
      </c>
      <c r="H4" s="77" t="s">
        <v>248</v>
      </c>
      <c r="N4" s="77" t="s">
        <v>267</v>
      </c>
    </row>
    <row r="5" spans="1:14">
      <c r="A5" s="11" t="s">
        <v>230</v>
      </c>
      <c r="B5" t="s">
        <v>231</v>
      </c>
      <c r="H5" s="77" t="s">
        <v>249</v>
      </c>
      <c r="N5" s="77" t="s">
        <v>268</v>
      </c>
    </row>
    <row r="6" spans="1:14">
      <c r="H6" s="77" t="s">
        <v>250</v>
      </c>
      <c r="N6" s="77" t="s">
        <v>269</v>
      </c>
    </row>
    <row r="7" spans="1:14">
      <c r="H7" s="18"/>
      <c r="N7" s="18"/>
    </row>
    <row r="8" spans="1:14" ht="18">
      <c r="A8" s="76" t="s">
        <v>232</v>
      </c>
      <c r="H8" s="76" t="s">
        <v>251</v>
      </c>
      <c r="N8" s="76" t="s">
        <v>270</v>
      </c>
    </row>
    <row r="9" spans="1:14">
      <c r="A9" s="77" t="s">
        <v>233</v>
      </c>
      <c r="H9" s="77" t="s">
        <v>252</v>
      </c>
      <c r="N9" s="78"/>
    </row>
    <row r="10" spans="1:14">
      <c r="A10" s="77" t="s">
        <v>234</v>
      </c>
      <c r="H10" s="77" t="s">
        <v>253</v>
      </c>
      <c r="N10" s="77" t="s">
        <v>271</v>
      </c>
    </row>
    <row r="11" spans="1:14">
      <c r="A11" s="77" t="s">
        <v>235</v>
      </c>
      <c r="H11" s="77" t="s">
        <v>254</v>
      </c>
      <c r="N11" s="77" t="s">
        <v>272</v>
      </c>
    </row>
    <row r="12" spans="1:14">
      <c r="A12" s="77" t="s">
        <v>236</v>
      </c>
      <c r="H12" s="77" t="s">
        <v>255</v>
      </c>
      <c r="N12" s="77" t="s">
        <v>273</v>
      </c>
    </row>
    <row r="13" spans="1:14">
      <c r="A13" s="77" t="s">
        <v>237</v>
      </c>
      <c r="H13" s="77" t="s">
        <v>256</v>
      </c>
    </row>
    <row r="14" spans="1:14">
      <c r="A14" s="77" t="s">
        <v>238</v>
      </c>
      <c r="H14" s="77" t="s">
        <v>257</v>
      </c>
    </row>
    <row r="15" spans="1:14">
      <c r="A15" s="77" t="s">
        <v>239</v>
      </c>
      <c r="H15" s="77" t="s">
        <v>258</v>
      </c>
    </row>
    <row r="16" spans="1:14">
      <c r="A16" s="77" t="s">
        <v>240</v>
      </c>
      <c r="H16" s="18"/>
    </row>
    <row r="17" spans="1:8" ht="18">
      <c r="A17" s="77" t="s">
        <v>241</v>
      </c>
      <c r="H17" s="76" t="s">
        <v>259</v>
      </c>
    </row>
    <row r="18" spans="1:8">
      <c r="A18" s="77" t="s">
        <v>242</v>
      </c>
      <c r="H18" s="78"/>
    </row>
    <row r="19" spans="1:8">
      <c r="A19" s="77" t="s">
        <v>243</v>
      </c>
      <c r="H19" s="77" t="s">
        <v>260</v>
      </c>
    </row>
    <row r="20" spans="1:8">
      <c r="A20" s="77" t="s">
        <v>244</v>
      </c>
      <c r="H20" s="77" t="s">
        <v>261</v>
      </c>
    </row>
    <row r="21" spans="1:8">
      <c r="A21" s="18"/>
      <c r="H21" s="77" t="s">
        <v>262</v>
      </c>
    </row>
    <row r="22" spans="1:8">
      <c r="H22" s="77" t="s">
        <v>263</v>
      </c>
    </row>
    <row r="23" spans="1:8">
      <c r="H23" s="77" t="s">
        <v>264</v>
      </c>
    </row>
    <row r="24" spans="1:8">
      <c r="H24" s="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1F45-842F-4D8F-90BD-39321FF9DDB5}">
  <sheetPr>
    <tabColor theme="3" tint="0.249977111117893"/>
  </sheetPr>
  <dimension ref="A1:U29"/>
  <sheetViews>
    <sheetView tabSelected="1" workbookViewId="0">
      <selection activeCell="J30" sqref="J30"/>
    </sheetView>
  </sheetViews>
  <sheetFormatPr defaultRowHeight="15"/>
  <cols>
    <col min="1" max="1" width="14" customWidth="1"/>
    <col min="2" max="2" width="11.28515625" customWidth="1"/>
  </cols>
  <sheetData>
    <row r="1" spans="1:21">
      <c r="A1" s="12" t="s">
        <v>274</v>
      </c>
      <c r="P1" s="12" t="s">
        <v>275</v>
      </c>
      <c r="S1" t="s">
        <v>276</v>
      </c>
      <c r="U1" t="s">
        <v>277</v>
      </c>
    </row>
    <row r="2" spans="1:21">
      <c r="A2" s="107" t="s">
        <v>342</v>
      </c>
      <c r="P2" s="79" t="s">
        <v>278</v>
      </c>
      <c r="Q2" s="79" t="s">
        <v>279</v>
      </c>
      <c r="S2" s="79" t="s">
        <v>279</v>
      </c>
      <c r="T2" s="79" t="s">
        <v>278</v>
      </c>
      <c r="U2" s="79" t="s">
        <v>279</v>
      </c>
    </row>
    <row r="3" spans="1:21">
      <c r="A3" s="21" t="s">
        <v>343</v>
      </c>
      <c r="O3" s="80">
        <v>20</v>
      </c>
      <c r="P3" s="81" t="s">
        <v>280</v>
      </c>
      <c r="Q3" s="80">
        <v>20</v>
      </c>
      <c r="S3" s="1" cm="1">
        <f t="array" ref="S3:S8">_xlfn.XLOOKUP(T3:T8,P3:P8,O3:O8)</f>
        <v>20</v>
      </c>
      <c r="T3" s="81" t="s">
        <v>280</v>
      </c>
      <c r="U3" s="1" cm="1">
        <f t="array" ref="U3:U8">_xlfn.XLOOKUP(T3:T8,P3:P8,Q3:Q8)</f>
        <v>20</v>
      </c>
    </row>
    <row r="4" spans="1:21">
      <c r="O4" s="1">
        <v>20</v>
      </c>
      <c r="P4" s="1" t="s">
        <v>281</v>
      </c>
      <c r="Q4" s="1">
        <v>20</v>
      </c>
      <c r="S4" s="1">
        <v>20</v>
      </c>
      <c r="T4" s="1" t="s">
        <v>281</v>
      </c>
      <c r="U4" s="1">
        <v>20</v>
      </c>
    </row>
    <row r="5" spans="1:21">
      <c r="A5" s="2" t="s">
        <v>344</v>
      </c>
      <c r="B5" s="2" t="s">
        <v>345</v>
      </c>
      <c r="C5" s="2" t="s">
        <v>346</v>
      </c>
      <c r="O5" s="1">
        <v>10</v>
      </c>
      <c r="P5" s="82" t="s">
        <v>282</v>
      </c>
      <c r="Q5" s="1">
        <v>10</v>
      </c>
      <c r="S5" s="1">
        <v>10</v>
      </c>
      <c r="T5" s="82" t="s">
        <v>282</v>
      </c>
      <c r="U5" s="1">
        <v>10</v>
      </c>
    </row>
    <row r="6" spans="1:21">
      <c r="A6" s="1" t="s">
        <v>176</v>
      </c>
      <c r="B6" s="1">
        <v>50</v>
      </c>
      <c r="C6" s="1" t="str" cm="1">
        <f t="array" ref="C6">_xlfn.SWITCH(B6,90,"A",80,"B",70,"C",60,"D","Fail")</f>
        <v>Fail</v>
      </c>
      <c r="O6" s="1">
        <v>30</v>
      </c>
      <c r="P6" s="1" t="s">
        <v>283</v>
      </c>
      <c r="Q6" s="1">
        <v>30</v>
      </c>
      <c r="S6" s="1">
        <v>30</v>
      </c>
      <c r="T6" s="1" t="s">
        <v>283</v>
      </c>
      <c r="U6" s="1">
        <v>30</v>
      </c>
    </row>
    <row r="7" spans="1:21">
      <c r="A7" s="1" t="s">
        <v>178</v>
      </c>
      <c r="B7" s="1">
        <v>60</v>
      </c>
      <c r="C7" s="1" t="str" cm="1">
        <f t="array" ref="C7">_xlfn.SWITCH(B7,90,"A",80,"B",70,"C",60,"D","Fail")</f>
        <v>D</v>
      </c>
      <c r="O7" s="1">
        <v>70</v>
      </c>
      <c r="P7" s="82" t="s">
        <v>284</v>
      </c>
      <c r="Q7" s="1">
        <v>70</v>
      </c>
      <c r="S7" s="1">
        <v>70</v>
      </c>
      <c r="T7" s="82" t="s">
        <v>284</v>
      </c>
      <c r="U7" s="1">
        <v>70</v>
      </c>
    </row>
    <row r="8" spans="1:21">
      <c r="A8" s="1" t="s">
        <v>347</v>
      </c>
      <c r="B8" s="1">
        <v>40</v>
      </c>
      <c r="C8" s="1" t="str" cm="1">
        <f t="array" ref="C8">_xlfn.SWITCH(B8,90,"A",80,"B",70,"C",60,"D","Fail")</f>
        <v>Fail</v>
      </c>
      <c r="O8" s="1">
        <v>25</v>
      </c>
      <c r="P8" s="1" t="s">
        <v>285</v>
      </c>
      <c r="Q8" s="1">
        <v>25</v>
      </c>
      <c r="S8" s="1">
        <v>25</v>
      </c>
      <c r="T8" s="1" t="s">
        <v>285</v>
      </c>
      <c r="U8" s="1">
        <v>25</v>
      </c>
    </row>
    <row r="9" spans="1:21">
      <c r="A9" s="1" t="s">
        <v>106</v>
      </c>
      <c r="B9" s="1">
        <v>90</v>
      </c>
      <c r="C9" s="1" t="str" cm="1">
        <f t="array" ref="C9">_xlfn.SWITCH(B9,90,"A",80,"B",70,"C",60,"D","Fail")</f>
        <v>A</v>
      </c>
    </row>
    <row r="10" spans="1:21">
      <c r="A10" s="1" t="s">
        <v>348</v>
      </c>
      <c r="B10" s="1">
        <v>70</v>
      </c>
      <c r="C10" s="1" t="str" cm="1">
        <f t="array" ref="C10">_xlfn.SWITCH(B10,90,"A",80,"B",70,"C",60,"D","Fail")</f>
        <v>C</v>
      </c>
    </row>
    <row r="11" spans="1:21">
      <c r="A11" s="1" t="s">
        <v>349</v>
      </c>
      <c r="B11" s="1">
        <v>30</v>
      </c>
      <c r="C11" s="1" t="str" cm="1">
        <f t="array" ref="C11">_xlfn.SWITCH(B11,90,"A",80,"B",70,"C",60,"D","Fail")</f>
        <v>Fail</v>
      </c>
    </row>
    <row r="12" spans="1:21">
      <c r="A12" s="1" t="s">
        <v>350</v>
      </c>
      <c r="B12" s="1">
        <v>90</v>
      </c>
      <c r="C12" s="1" t="str" cm="1">
        <f t="array" ref="C12">_xlfn.SWITCH(B12,90,"A",80,"B",70,"C",60,"D","Fail")</f>
        <v>A</v>
      </c>
    </row>
    <row r="13" spans="1:21">
      <c r="A13" s="1" t="s">
        <v>351</v>
      </c>
      <c r="B13" s="1">
        <v>80</v>
      </c>
      <c r="C13" s="1" t="str" cm="1">
        <f t="array" ref="C13">_xlfn.SWITCH(B13,90,"A",80,"B",70,"C",60,"D","Fail")</f>
        <v>B</v>
      </c>
    </row>
    <row r="15" spans="1:21">
      <c r="A15" t="s">
        <v>352</v>
      </c>
    </row>
    <row r="18" spans="1:2">
      <c r="A18" s="1" t="s">
        <v>354</v>
      </c>
      <c r="B18" s="1" t="s">
        <v>353</v>
      </c>
    </row>
    <row r="19" spans="1:2">
      <c r="A19" s="1">
        <v>1</v>
      </c>
      <c r="B19" t="str" cm="1">
        <f t="array" ref="B19">_xlfn.SWITCH(A19,1,"Monday",2,"Tuesday",3,"Wednesday",4,"Thursday",5,"Friday",6,"Saturday",7,"Sunday","Invalid")</f>
        <v>Monday</v>
      </c>
    </row>
    <row r="20" spans="1:2">
      <c r="A20" s="1">
        <v>2</v>
      </c>
      <c r="B20" t="str" cm="1">
        <f t="array" ref="B20">_xlfn.SWITCH(A20,1,"Monday",2,"Tuesday",3,"Wednesday",4,"Thursday",5,"Friday",6,"Saturday",7,"Sunday","Invalid")</f>
        <v>Tuesday</v>
      </c>
    </row>
    <row r="21" spans="1:2">
      <c r="A21" s="1">
        <v>3</v>
      </c>
      <c r="B21" t="str" cm="1">
        <f t="array" ref="B21">_xlfn.SWITCH(A21,1,"Monday",2,"Tuesday",3,"Wednesday",4,"Thursday",5,"Friday",6,"Saturday",7,"Sunday","Invalid")</f>
        <v>Wednesday</v>
      </c>
    </row>
    <row r="22" spans="1:2">
      <c r="A22" s="1">
        <v>4</v>
      </c>
      <c r="B22" t="str" cm="1">
        <f t="array" ref="B22">_xlfn.SWITCH(A22,1,"Monday",2,"Tuesday",3,"Wednesday",4,"Thursday",5,"Friday",6,"Saturday",7,"Sunday","Invalid")</f>
        <v>Thursday</v>
      </c>
    </row>
    <row r="23" spans="1:2">
      <c r="A23" s="1">
        <v>5</v>
      </c>
      <c r="B23" t="str" cm="1">
        <f t="array" ref="B23">_xlfn.SWITCH(A23,1,"Monday",2,"Tuesday",3,"Wednesday",4,"Thursday",5,"Friday",6,"Saturday",7,"Sunday","Invalid")</f>
        <v>Friday</v>
      </c>
    </row>
    <row r="24" spans="1:2">
      <c r="A24" s="1">
        <v>6</v>
      </c>
      <c r="B24" t="str" cm="1">
        <f t="array" ref="B24">_xlfn.SWITCH(A24,1,"Monday",2,"Tuesday",3,"Wednesday",4,"Thursday",5,"Friday",6,"Saturday",7,"Sunday","Invalid")</f>
        <v>Saturday</v>
      </c>
    </row>
    <row r="25" spans="1:2">
      <c r="A25" s="1">
        <v>7</v>
      </c>
      <c r="B25" t="str" cm="1">
        <f t="array" ref="B25">_xlfn.SWITCH(A25,1,"Monday",2,"Tuesday",3,"Wednesday",4,"Thursday",5,"Friday",6,"Saturday",7,"Sunday","Invalid")</f>
        <v>Sunday</v>
      </c>
    </row>
    <row r="26" spans="1:2">
      <c r="A26" s="1"/>
      <c r="B26" t="str" cm="1">
        <f t="array" ref="B26">_xlfn.SWITCH(A26,1,"Monday",2,"Tuesday",3,"Wednesday",4,"Thursday",5,"Friday",6,"Saturday",7,"Sunday","Invalid")</f>
        <v>Invalid</v>
      </c>
    </row>
    <row r="27" spans="1:2">
      <c r="A27" s="1"/>
      <c r="B27" t="str" cm="1">
        <f t="array" ref="B27">_xlfn.SWITCH(A27,1,"Monday",2,"Tuesday",3,"Wednesday",4,"Thursday",5,"Friday",6,"Saturday",7,"Sunday","Invalid")</f>
        <v>Invalid</v>
      </c>
    </row>
    <row r="29" spans="1:2">
      <c r="A29" t="s">
        <v>355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CCEC-E888-41C8-90CC-044DF6136394}">
  <sheetPr>
    <tabColor rgb="FFFF0000"/>
  </sheetPr>
  <dimension ref="A1:X29"/>
  <sheetViews>
    <sheetView workbookViewId="0">
      <selection activeCell="F11" sqref="F11"/>
    </sheetView>
  </sheetViews>
  <sheetFormatPr defaultRowHeight="15"/>
  <cols>
    <col min="22" max="22" width="10.5703125" bestFit="1" customWidth="1"/>
    <col min="24" max="24" width="11.7109375" bestFit="1" customWidth="1"/>
  </cols>
  <sheetData>
    <row r="1" spans="1:24">
      <c r="A1" s="83" t="s">
        <v>286</v>
      </c>
    </row>
    <row r="2" spans="1:24">
      <c r="A2" s="18" t="s">
        <v>287</v>
      </c>
    </row>
    <row r="3" spans="1:24">
      <c r="A3" s="18" t="s">
        <v>288</v>
      </c>
    </row>
    <row r="4" spans="1:24">
      <c r="A4" s="18" t="s">
        <v>289</v>
      </c>
    </row>
    <row r="5" spans="1:24">
      <c r="A5" s="18" t="s">
        <v>290</v>
      </c>
      <c r="M5" s="83" t="s">
        <v>291</v>
      </c>
      <c r="U5" s="84" t="s">
        <v>0</v>
      </c>
      <c r="V5" s="84" t="s">
        <v>292</v>
      </c>
      <c r="W5" s="84" t="s">
        <v>293</v>
      </c>
      <c r="X5" s="84" t="s">
        <v>294</v>
      </c>
    </row>
    <row r="6" spans="1:24">
      <c r="A6" s="18" t="s">
        <v>295</v>
      </c>
      <c r="M6" s="18" t="s">
        <v>296</v>
      </c>
      <c r="N6" s="18"/>
      <c r="O6" s="18"/>
      <c r="P6" s="18"/>
      <c r="Q6" s="18"/>
      <c r="R6" s="18"/>
      <c r="S6" s="18"/>
      <c r="T6" s="18"/>
      <c r="U6" s="84" t="s">
        <v>114</v>
      </c>
      <c r="V6" s="84" t="s">
        <v>297</v>
      </c>
      <c r="W6" s="1">
        <v>101</v>
      </c>
      <c r="X6" s="1" t="s">
        <v>2</v>
      </c>
    </row>
    <row r="7" spans="1:24">
      <c r="A7" s="18"/>
      <c r="K7" s="1" t="s">
        <v>114</v>
      </c>
      <c r="M7" s="18" t="s">
        <v>298</v>
      </c>
      <c r="N7" s="18"/>
      <c r="O7" s="18"/>
      <c r="P7" s="18"/>
      <c r="Q7" s="18"/>
      <c r="R7" s="18"/>
      <c r="S7" s="18"/>
      <c r="T7" s="18"/>
      <c r="U7" s="1" t="s">
        <v>109</v>
      </c>
      <c r="V7" s="1" t="s">
        <v>299</v>
      </c>
      <c r="W7" s="1">
        <v>102</v>
      </c>
      <c r="X7" s="1" t="s">
        <v>3</v>
      </c>
    </row>
    <row r="8" spans="1:24">
      <c r="M8" s="18" t="s">
        <v>300</v>
      </c>
      <c r="N8" s="18"/>
      <c r="O8" s="18"/>
      <c r="P8" s="18"/>
      <c r="Q8" s="18"/>
      <c r="R8" s="18"/>
      <c r="S8" s="18"/>
      <c r="T8" s="18"/>
      <c r="U8" s="84" t="s">
        <v>120</v>
      </c>
      <c r="V8" s="84" t="s">
        <v>177</v>
      </c>
      <c r="W8" s="1">
        <v>103</v>
      </c>
      <c r="X8" s="1" t="s">
        <v>4</v>
      </c>
    </row>
    <row r="9" spans="1:24">
      <c r="K9" s="1" t="s">
        <v>114</v>
      </c>
      <c r="M9" s="18" t="s">
        <v>301</v>
      </c>
      <c r="N9" s="18"/>
      <c r="O9" s="18"/>
      <c r="P9" s="18"/>
      <c r="Q9" s="18"/>
      <c r="R9" s="18"/>
      <c r="S9" s="18"/>
      <c r="T9" s="18"/>
      <c r="U9" s="1" t="s">
        <v>117</v>
      </c>
      <c r="V9" s="1" t="s">
        <v>302</v>
      </c>
      <c r="W9" s="1">
        <v>104</v>
      </c>
      <c r="X9" s="1" t="s">
        <v>303</v>
      </c>
    </row>
    <row r="10" spans="1:24">
      <c r="K10" s="1" t="s">
        <v>114</v>
      </c>
      <c r="M10" s="18" t="s">
        <v>304</v>
      </c>
      <c r="N10" s="18"/>
      <c r="O10" s="18"/>
      <c r="P10" s="18"/>
      <c r="Q10" s="18"/>
      <c r="R10" s="18"/>
      <c r="S10" s="18"/>
      <c r="T10" s="18"/>
      <c r="U10" s="1" t="s">
        <v>305</v>
      </c>
      <c r="V10" s="1" t="s">
        <v>306</v>
      </c>
      <c r="W10" s="1">
        <v>105</v>
      </c>
      <c r="X10" s="1" t="s">
        <v>307</v>
      </c>
    </row>
    <row r="11" spans="1:24">
      <c r="A11" s="85" t="s">
        <v>308</v>
      </c>
      <c r="K11" s="1" t="s">
        <v>114</v>
      </c>
      <c r="M11" s="18" t="s">
        <v>309</v>
      </c>
      <c r="N11" s="18"/>
      <c r="O11" s="18"/>
      <c r="P11" s="18"/>
      <c r="Q11" s="18"/>
      <c r="R11" s="18"/>
      <c r="S11" s="18"/>
      <c r="T11" s="18"/>
      <c r="U11" s="1" t="s">
        <v>310</v>
      </c>
      <c r="V11" s="1" t="s">
        <v>311</v>
      </c>
      <c r="W11" s="1">
        <v>106</v>
      </c>
      <c r="X11" s="1" t="s">
        <v>5</v>
      </c>
    </row>
    <row r="12" spans="1:24">
      <c r="K12" s="1" t="s">
        <v>114</v>
      </c>
      <c r="M12" s="18" t="s">
        <v>312</v>
      </c>
      <c r="N12" s="18"/>
      <c r="O12" s="18"/>
      <c r="P12" s="18"/>
      <c r="Q12" s="18"/>
      <c r="R12" s="18"/>
      <c r="S12" s="18"/>
      <c r="T12" s="18"/>
      <c r="U12" s="1" t="s">
        <v>313</v>
      </c>
      <c r="V12" s="1" t="s">
        <v>314</v>
      </c>
      <c r="W12" s="1">
        <v>107</v>
      </c>
      <c r="X12" s="1" t="s">
        <v>6</v>
      </c>
    </row>
    <row r="13" spans="1:24">
      <c r="A13" s="83" t="s">
        <v>315</v>
      </c>
      <c r="K13" s="1" t="s">
        <v>114</v>
      </c>
      <c r="M13" s="18" t="s">
        <v>316</v>
      </c>
      <c r="N13" s="18"/>
      <c r="O13" s="18"/>
      <c r="P13" s="18"/>
      <c r="Q13" s="18"/>
      <c r="R13" s="18"/>
      <c r="S13" s="18"/>
      <c r="T13" s="18"/>
      <c r="U13" s="1" t="s">
        <v>317</v>
      </c>
      <c r="V13" s="1" t="s">
        <v>318</v>
      </c>
      <c r="W13" s="1">
        <v>108</v>
      </c>
      <c r="X13" s="1" t="s">
        <v>319</v>
      </c>
    </row>
    <row r="14" spans="1:24">
      <c r="A14" s="18" t="s">
        <v>320</v>
      </c>
      <c r="K14" s="1" t="s">
        <v>114</v>
      </c>
      <c r="U14" s="1" t="s">
        <v>321</v>
      </c>
      <c r="V14" s="1" t="s">
        <v>322</v>
      </c>
      <c r="W14" s="1">
        <v>109</v>
      </c>
      <c r="X14" s="1" t="s">
        <v>323</v>
      </c>
    </row>
    <row r="15" spans="1:24">
      <c r="A15" s="18" t="s">
        <v>324</v>
      </c>
      <c r="K15" s="1" t="s">
        <v>114</v>
      </c>
      <c r="M15" s="83" t="s">
        <v>325</v>
      </c>
      <c r="U15" s="1" t="s">
        <v>326</v>
      </c>
      <c r="V15" s="1" t="s">
        <v>327</v>
      </c>
      <c r="W15" s="1">
        <v>110</v>
      </c>
      <c r="X15" s="1" t="s">
        <v>328</v>
      </c>
    </row>
    <row r="16" spans="1:24">
      <c r="A16" s="18" t="s">
        <v>329</v>
      </c>
      <c r="K16" s="1" t="s">
        <v>114</v>
      </c>
      <c r="M16" s="18" t="s">
        <v>330</v>
      </c>
      <c r="U16" s="1"/>
      <c r="V16" s="1"/>
      <c r="W16" s="1"/>
      <c r="X16" s="1"/>
    </row>
    <row r="17" spans="1:24">
      <c r="A17" s="18" t="s">
        <v>331</v>
      </c>
      <c r="K17" s="1" t="s">
        <v>114</v>
      </c>
      <c r="U17" s="1"/>
      <c r="V17" s="1"/>
      <c r="W17" s="1"/>
      <c r="X17" s="1"/>
    </row>
    <row r="18" spans="1:24">
      <c r="U18" s="1"/>
      <c r="V18" s="1"/>
      <c r="W18" s="1"/>
      <c r="X18" s="1"/>
    </row>
    <row r="19" spans="1:24">
      <c r="A19" s="83" t="s">
        <v>332</v>
      </c>
      <c r="O19" s="86" t="s">
        <v>0</v>
      </c>
      <c r="P19" s="86" t="s">
        <v>293</v>
      </c>
    </row>
    <row r="20" spans="1:24">
      <c r="A20" s="18" t="s">
        <v>333</v>
      </c>
      <c r="O20" s="87" t="s">
        <v>114</v>
      </c>
      <c r="P20" s="87">
        <v>1</v>
      </c>
    </row>
    <row r="21" spans="1:24">
      <c r="A21" s="18" t="s">
        <v>334</v>
      </c>
      <c r="O21" s="2" t="s">
        <v>335</v>
      </c>
      <c r="P21" s="2">
        <v>2</v>
      </c>
    </row>
    <row r="22" spans="1:24">
      <c r="O22" s="1"/>
      <c r="P22" s="1"/>
    </row>
    <row r="23" spans="1:24">
      <c r="O23" s="1"/>
      <c r="P23" s="1"/>
    </row>
    <row r="24" spans="1:24">
      <c r="A24" s="75" t="s">
        <v>336</v>
      </c>
      <c r="O24" s="1"/>
      <c r="P24" s="1"/>
    </row>
    <row r="25" spans="1:24">
      <c r="A25" s="18" t="s">
        <v>337</v>
      </c>
      <c r="O25" s="1"/>
      <c r="P25" s="1"/>
    </row>
    <row r="26" spans="1:24">
      <c r="A26" s="18" t="s">
        <v>338</v>
      </c>
    </row>
    <row r="27" spans="1:24">
      <c r="A27" s="18" t="s">
        <v>339</v>
      </c>
    </row>
    <row r="28" spans="1:24">
      <c r="A28" s="18" t="s">
        <v>340</v>
      </c>
    </row>
    <row r="29" spans="1:24">
      <c r="A29" s="18" t="s">
        <v>341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08124-085B-4AE2-9664-18431866C8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Create Pivot Tables</vt:lpstr>
      <vt:lpstr>Pivot chats</vt:lpstr>
      <vt:lpstr>Slicer</vt:lpstr>
      <vt:lpstr>Conditional Formatting</vt:lpstr>
      <vt:lpstr>Data Validation</vt:lpstr>
      <vt:lpstr>Date &amp; Time</vt:lpstr>
      <vt:lpstr>Text Function</vt:lpstr>
      <vt:lpstr>shortcuts</vt:lpstr>
      <vt:lpstr>SWITCH-XLOOKUP</vt:lpstr>
      <vt:lpstr>Basic Macros (introduction)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Kamat</dc:creator>
  <cp:lastModifiedBy>amit.kamat005</cp:lastModifiedBy>
  <dcterms:created xsi:type="dcterms:W3CDTF">2025-02-16T01:12:48Z</dcterms:created>
  <dcterms:modified xsi:type="dcterms:W3CDTF">2026-05-19T19:23:18Z</dcterms:modified>
</cp:coreProperties>
</file>